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Data" sheetId="1" r:id="rId5"/>
    <sheet state="visible" name="SalesData_Formula_Applied" sheetId="2" r:id="rId6"/>
    <sheet state="visible" name="Clarification" sheetId="3" r:id="rId7"/>
    <sheet state="visible" name="LookupTable" sheetId="4" r:id="rId8"/>
  </sheets>
  <definedNames>
    <definedName hidden="1" localSheetId="1" name="_xlnm._FilterDatabase">SalesData_Formula_Applied!$A$1:$I$26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tc={fc7ce6e3-95f9-4cb5-9db0-c405cd958633}</author>
  </authors>
  <commentList>
    <comment authorId="0" xr:uid="{fc7ce6e3-95f9-4cb5-9db0-c405cd958633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Duplicate OrderIDs
</t>
      </text>
    </comment>
  </commentList>
</comments>
</file>

<file path=xl/sharedStrings.xml><?xml version="1.0" encoding="utf-8"?>
<sst xmlns="http://schemas.openxmlformats.org/spreadsheetml/2006/main" count="443" uniqueCount="108">
  <si>
    <t>OrderID</t>
  </si>
  <si>
    <t>Salesperson</t>
  </si>
  <si>
    <t>Region</t>
  </si>
  <si>
    <t>Product</t>
  </si>
  <si>
    <t>Category</t>
  </si>
  <si>
    <t>Units</t>
  </si>
  <si>
    <t>UnitPrice</t>
  </si>
  <si>
    <t>Revenue</t>
  </si>
  <si>
    <t>O1001</t>
  </si>
  <si>
    <t>Asha</t>
  </si>
  <si>
    <t>North</t>
  </si>
  <si>
    <t>Laptop</t>
  </si>
  <si>
    <t>Electronics</t>
  </si>
  <si>
    <t>O1002</t>
  </si>
  <si>
    <t>Ravi</t>
  </si>
  <si>
    <t>South</t>
  </si>
  <si>
    <t>Mouse</t>
  </si>
  <si>
    <t>Accessories</t>
  </si>
  <si>
    <t>O1003</t>
  </si>
  <si>
    <t>Neha</t>
  </si>
  <si>
    <t>West</t>
  </si>
  <si>
    <t>Keyboard</t>
  </si>
  <si>
    <t>O1004</t>
  </si>
  <si>
    <t>Amit</t>
  </si>
  <si>
    <t>East</t>
  </si>
  <si>
    <t>Monitor</t>
  </si>
  <si>
    <t>O1005</t>
  </si>
  <si>
    <t>Printer</t>
  </si>
  <si>
    <t>Office</t>
  </si>
  <si>
    <t>O1006</t>
  </si>
  <si>
    <t>O1007</t>
  </si>
  <si>
    <t>Chair</t>
  </si>
  <si>
    <t>Furniture</t>
  </si>
  <si>
    <t>O1008</t>
  </si>
  <si>
    <t>Desk</t>
  </si>
  <si>
    <t>O1009</t>
  </si>
  <si>
    <t>O1010</t>
  </si>
  <si>
    <t>O1011</t>
  </si>
  <si>
    <t>O1012</t>
  </si>
  <si>
    <t>O1013</t>
  </si>
  <si>
    <t>O1014</t>
  </si>
  <si>
    <t>O1015</t>
  </si>
  <si>
    <t>O1016</t>
  </si>
  <si>
    <t>O1017</t>
  </si>
  <si>
    <t>O1018</t>
  </si>
  <si>
    <t>O1019</t>
  </si>
  <si>
    <t>O1020</t>
  </si>
  <si>
    <t>O1021</t>
  </si>
  <si>
    <t>O1022</t>
  </si>
  <si>
    <t>O1023</t>
  </si>
  <si>
    <t>O1024</t>
  </si>
  <si>
    <t>Category (Vlookup)</t>
  </si>
  <si>
    <t>Category (Xlookup)</t>
  </si>
  <si>
    <t xml:space="preserve">Revenue to Total (%) </t>
  </si>
  <si>
    <t>High/Low (Revenue &gt;=1000)</t>
  </si>
  <si>
    <t>Total Revenue</t>
  </si>
  <si>
    <t>Average Revenue</t>
  </si>
  <si>
    <t>Total Records (Count )</t>
  </si>
  <si>
    <t>Revenue Cell (Count)</t>
  </si>
  <si>
    <t>North Region (Orders)</t>
  </si>
  <si>
    <t>Total Revenue (Electronics category)</t>
  </si>
  <si>
    <t>Average Sold Units (Asha)</t>
  </si>
  <si>
    <t>Highest Revenue</t>
  </si>
  <si>
    <t>Lowest Revenue</t>
  </si>
  <si>
    <t>Pivot(Query): Revenue (Sum) per Region</t>
  </si>
  <si>
    <t>Display Data by Units (descending)</t>
  </si>
  <si>
    <t>Google Sheets Assignment</t>
  </si>
  <si>
    <r>
      <rPr>
        <rFont val="Calibri"/>
        <b/>
        <i/>
        <color theme="1"/>
        <sz val="14.0"/>
      </rPr>
      <t xml:space="preserve">Action/ Answers (Please follow sheet </t>
    </r>
    <r>
      <rPr>
        <rFont val="Calibri"/>
        <b/>
        <i/>
        <color rgb="FFF79646"/>
        <sz val="14.0"/>
      </rPr>
      <t>SalesData_Formula_Applied</t>
    </r>
    <r>
      <rPr>
        <rFont val="Calibri"/>
        <b/>
        <i/>
        <color theme="1"/>
        <sz val="14.0"/>
      </rPr>
      <t xml:space="preserve"> )</t>
    </r>
  </si>
  <si>
    <t>1. Freeze the top row.</t>
  </si>
  <si>
    <t>Click View &gt; Freeze &gt; 1 row</t>
  </si>
  <si>
    <t>2. Apply filter and sort Revenue descending.</t>
  </si>
  <si>
    <t>Select cells A1:H26. Click Data &gt; Create a filter. Click the filter icon in cell H1 (Revenue) and choose Sort Z → A</t>
  </si>
  <si>
    <t>3. Calculate Total Revenue using SUM.</t>
  </si>
  <si>
    <t>=SUM(H2:H26)             Total Revenue -&gt; 23,240.00 (Cell J2,J3)</t>
  </si>
  <si>
    <t>4. Calculate Average Revenue using AVERAGE.</t>
  </si>
  <si>
    <t>=AVERAGE(H2:H26)    Average Revenue -&gt; 929.60 (Cell J5,J6)</t>
  </si>
  <si>
    <t>5. Count total records using COUNTA.</t>
  </si>
  <si>
    <t>=COUNTA(A2:A26)       Total Records (Count) -&gt; 25 (Cell J8,J9)</t>
  </si>
  <si>
    <t>6. Count numeric Revenue cells using COUNT.</t>
  </si>
  <si>
    <t>=COUNT(H2:H26)          Revenue Cell (Count) -&gt; 25 (Cell J11,J12)</t>
  </si>
  <si>
    <t>7. COUNTIF: Orders from North region.</t>
  </si>
  <si>
    <t>=COUNTIF(C2:C26, "North")     Orders from North region -&gt;  6 (Cell J14,J15)</t>
  </si>
  <si>
    <t>8. SUMIF: Total Revenue for Electronics category.</t>
  </si>
  <si>
    <t>=SUMIF(E2:E26, "Electronics", H2:H26)   Total Revenue for Electronics category  -&gt;  16120 (Cell J17,J18)</t>
  </si>
  <si>
    <t>9. AVERAGEIF: Average Units sold by Asha.</t>
  </si>
  <si>
    <t>=AVERAGEIF(B2:B26, "Asha", F2:F26)      Average Units sold by Asha -&gt; 8.33 (Cell J20,J21)</t>
  </si>
  <si>
    <t>10. Highlight Revenue &gt;1000 using Conditional Formatting.</t>
  </si>
  <si>
    <t>Select H2:H26 &gt; Format &gt; Conditional formatting &gt; Choose Greater than &gt; Enter 1000</t>
  </si>
  <si>
    <t>11. Apply Color Scale to Revenue column.</t>
  </si>
  <si>
    <t>Select H2:H26 &gt; Format &gt; Conditional formatting &gt; Click Color scale tab &gt; Click Done</t>
  </si>
  <si>
    <t>12. Identify duplicate OrderID values using Conditional Formatting.</t>
  </si>
  <si>
    <t>Select A2:A26 &gt; Format &gt; Conditional formatting &gt; Choose Custom formula is &gt; Enter =COUNTIF(A$2:A$26, A2)&gt;1</t>
  </si>
  <si>
    <t>13. Create a lookup table (unique Product &amp; Category) and use VLOOKUP to return Category.</t>
  </si>
  <si>
    <t xml:space="preserve">Create a new sheet named LookupTable. In cell A1, paste this formula to get our unique products:=UNIQUE(SalesData_Formula_Applied!D1:D26). In cell B1, paste this formula. It will automatically generate the categories based entirely on the product names: ={"Category"; MAP(A2:A8, LAMBDA(p, IF(OR(p="Laptop", p="Monitor"), "Electronics", IF(OR(p="Mouse", p="Keyboard"), "Accessories", IF(p="Printer", "Office", "Furniture")))))}
Click on cell E2 on sheet named SalesData_Formula_Applied and paste formula: =VLOOKUP(D2, LookupTable!A:B, 2, FALSE). Drag or double-click this formula down to cell E26. 
</t>
  </si>
  <si>
    <t>14. Repeat using XLOOKUP.</t>
  </si>
  <si>
    <t>Type Category (XLOOKUP) on I1. In cell I2, paste XLOOKUP formula: =XLOOKUP(D2, LookupTable!A:A, LookupTable!B:B). Drag or double-click this formula down to cell I26.</t>
  </si>
  <si>
    <t>15. Use QUERY to create a pivot: Sum of Revenue by Region.</t>
  </si>
  <si>
    <t>In cell B30, paste: =QUERY(A1:H26, "SELECT C, SUM(H) GROUP BY C")   (Look at Cell -&gt;  A29:D35)</t>
  </si>
  <si>
    <t>16. Use SORT formula to display data by Units descending.</t>
  </si>
  <si>
    <t>In cell A38, paste: =SORT(A1:H26, 6, FALSE) (Sorts entire dataset by Units descending)  ((Look at Cell -&gt; A37:H63)</t>
  </si>
  <si>
    <t>17. Find highest and lowest Revenue (MAX/MIN).</t>
  </si>
  <si>
    <t>Highest: =MAX(H2:H26) =3000  (Cell J23,J24)     Lowest: =MIN(H2:H26) = 200 (Cell J26,J27)</t>
  </si>
  <si>
    <t>18. Calculate percentage contribution of each row Revenue to total.</t>
  </si>
  <si>
    <t>Put this in cell K2 and drag down: =H2/SUM(H$2:H$26) (Format the column as %).</t>
  </si>
  <si>
    <t>19. Use IF to label Revenue &gt;=1000 as High else Low.</t>
  </si>
  <si>
    <t>Put this in cell L2 and drag down: =IF(H2&gt;=1000, "High", "Low")</t>
  </si>
  <si>
    <t>20. Protect formula cells (optional).</t>
  </si>
  <si>
    <t>In SalesData_Formula_Applied sheet I applied column and cell protection both. I locked A, E, I to L column, A29:D35 cell, A37:H63 Cell. Even access with editor permission can't change data in the above mentioned area. In clarification sheet, I locked column B for preventing accidental modification.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</si>
</sst>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i/>
      <color theme="1"/>
      <name val="Calibri"/>
      <scheme val="minor"/>
    </font>
    <font>
      <b/>
      <sz val="10.0"/>
      <color theme="1"/>
      <name val="Arial"/>
    </font>
    <font>
      <b/>
      <sz val="10.0"/>
      <color rgb="FFFFFFFF"/>
      <name val="Arial"/>
    </font>
    <font>
      <b/>
      <sz val="10.0"/>
      <color theme="0"/>
      <name val="Arial"/>
    </font>
    <font>
      <sz val="10.0"/>
      <color rgb="FFFFFFFF"/>
      <name val="Arial"/>
    </font>
    <font>
      <b/>
      <sz val="11.0"/>
      <color rgb="FFFFFFFF"/>
      <name val="Calibri"/>
      <scheme val="minor"/>
    </font>
    <font>
      <color rgb="FFFFFFFF"/>
      <name val="Calibri"/>
      <scheme val="minor"/>
    </font>
    <font>
      <b/>
      <sz val="14.0"/>
      <color theme="1"/>
      <name val="Calibri"/>
      <scheme val="minor"/>
    </font>
    <font>
      <b/>
      <i/>
      <sz val="14.0"/>
      <color theme="1"/>
      <name val="Calibri"/>
      <scheme val="minor"/>
    </font>
    <font>
      <sz val="14.0"/>
      <color theme="1"/>
      <name val="Calibri"/>
      <scheme val="minor"/>
    </font>
    <font>
      <b/>
      <sz val="11.0"/>
      <color rgb="FFFF9900"/>
      <name val="Arial"/>
    </font>
    <font>
      <sz val="11.0"/>
      <color rgb="FFFF9900"/>
      <name val="Arial"/>
    </font>
    <font>
      <sz val="10.0"/>
      <color theme="1"/>
      <name val="Arial"/>
    </font>
    <font>
      <b/>
      <i/>
      <sz val="10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4A86E8"/>
        <bgColor rgb="FF4A86E8"/>
      </patternFill>
    </fill>
  </fills>
  <borders count="2">
    <border/>
    <border>
      <left style="thin">
        <color rgb="FFC0504D"/>
      </left>
      <right style="thin">
        <color rgb="FFC0504D"/>
      </right>
      <top style="thin">
        <color rgb="FFC0504D"/>
      </top>
      <bottom style="thin">
        <color rgb="FFC0504D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Font="1"/>
    <xf borderId="0" fillId="0" fontId="3" numFmtId="0" xfId="0" applyFont="1"/>
    <xf borderId="0" fillId="2" fontId="1" numFmtId="0" xfId="0" applyAlignment="1" applyFont="1">
      <alignment horizontal="center"/>
    </xf>
    <xf borderId="0" fillId="2" fontId="1" numFmtId="0" xfId="0" applyAlignment="1" applyFont="1">
      <alignment horizontal="center" readingOrder="0"/>
    </xf>
    <xf borderId="0" fillId="2" fontId="4" numFmtId="0" xfId="0" applyAlignment="1" applyFont="1">
      <alignment horizontal="center"/>
    </xf>
    <xf borderId="0" fillId="2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3" fontId="5" numFmtId="0" xfId="0" applyAlignment="1" applyFill="1" applyFont="1">
      <alignment horizontal="center" readingOrder="0"/>
    </xf>
    <xf borderId="0" fillId="0" fontId="2" numFmtId="10" xfId="0" applyAlignment="1" applyFont="1" applyNumberFormat="1">
      <alignment horizontal="center"/>
    </xf>
    <xf borderId="0" fillId="0" fontId="2" numFmtId="0" xfId="0" applyAlignment="1" applyFont="1">
      <alignment horizontal="center" readingOrder="0"/>
    </xf>
    <xf borderId="0" fillId="4" fontId="5" numFmtId="0" xfId="0" applyAlignment="1" applyFill="1" applyFont="1">
      <alignment horizontal="center"/>
    </xf>
    <xf borderId="0" fillId="0" fontId="4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4" fontId="5" numFmtId="2" xfId="0" applyAlignment="1" applyFont="1" applyNumberFormat="1">
      <alignment horizontal="center"/>
    </xf>
    <xf borderId="0" fillId="4" fontId="7" numFmtId="0" xfId="0" applyAlignment="1" applyFont="1">
      <alignment horizontal="center"/>
    </xf>
    <xf borderId="0" fillId="3" fontId="8" numFmtId="0" xfId="0" applyAlignment="1" applyFont="1">
      <alignment horizontal="center" readingOrder="0"/>
    </xf>
    <xf borderId="0" fillId="4" fontId="9" numFmtId="0" xfId="0" applyAlignment="1" applyFont="1">
      <alignment horizontal="center"/>
    </xf>
    <xf borderId="1" fillId="0" fontId="10" numFmtId="0" xfId="0" applyBorder="1" applyFont="1"/>
    <xf borderId="1" fillId="0" fontId="11" numFmtId="0" xfId="0" applyAlignment="1" applyBorder="1" applyFont="1">
      <alignment readingOrder="0"/>
    </xf>
    <xf borderId="1" fillId="0" fontId="12" numFmtId="0" xfId="0" applyBorder="1" applyFont="1"/>
    <xf borderId="1" fillId="0" fontId="12" numFmtId="0" xfId="0" applyAlignment="1" applyBorder="1" applyFont="1">
      <alignment readingOrder="0"/>
    </xf>
    <xf quotePrefix="1" borderId="1" fillId="0" fontId="12" numFmtId="0" xfId="0" applyAlignment="1" applyBorder="1" applyFont="1">
      <alignment readingOrder="0"/>
    </xf>
    <xf borderId="0" fillId="0" fontId="13" numFmtId="0" xfId="0" applyAlignment="1" applyFont="1">
      <alignment readingOrder="0"/>
    </xf>
    <xf borderId="0" fillId="0" fontId="14" numFmtId="0" xfId="0" applyFont="1"/>
    <xf borderId="0" fillId="0" fontId="15" numFmtId="0" xfId="0" applyFont="1"/>
    <xf borderId="0" fillId="0" fontId="16" numFmtId="0" xfId="0" applyFont="1"/>
  </cellXfs>
  <cellStyles count="1">
    <cellStyle xfId="0" name="Normal" builtinId="0"/>
  </cellStyles>
  <dxfs count="2">
    <dxf>
      <font>
        <color rgb="FFFFFFFF"/>
      </font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542925</xdr:colOff>
      <xdr:row>1</xdr:row>
      <xdr:rowOff>76200</xdr:rowOff>
    </xdr:from>
    <xdr:ext cx="4733925" cy="4143375"/>
    <xdr:grpSp>
      <xdr:nvGrpSpPr>
        <xdr:cNvPr id="2" name="Shape 2" title="Drawing"/>
        <xdr:cNvGrpSpPr/>
      </xdr:nvGrpSpPr>
      <xdr:grpSpPr>
        <a:xfrm>
          <a:off x="0" y="228675"/>
          <a:ext cx="4722600" cy="4080000"/>
          <a:chOff x="0" y="228675"/>
          <a:chExt cx="4722600" cy="4080000"/>
        </a:xfrm>
      </xdr:grpSpPr>
      <xdr:sp>
        <xdr:nvSpPr>
          <xdr:cNvPr id="3" name="Shape 3"/>
          <xdr:cNvSpPr txBox="1"/>
        </xdr:nvSpPr>
        <xdr:spPr>
          <a:xfrm>
            <a:off x="0" y="228675"/>
            <a:ext cx="1997700" cy="2262600"/>
          </a:xfrm>
          <a:prstGeom prst="rect">
            <a:avLst/>
          </a:prstGeom>
          <a:solidFill>
            <a:srgbClr val="FCE5CD"/>
          </a:solidFill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100"/>
              <a:t>SalesData</a:t>
            </a:r>
            <a:endParaRPr b="1" sz="1100"/>
          </a:p>
          <a:p>
            <a:pPr indent="-298450" lvl="0" marL="4572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●"/>
            </a:pPr>
            <a:r>
              <a:rPr lang="en-US" sz="1100"/>
              <a:t>25 sample records</a:t>
            </a:r>
            <a:endParaRPr sz="1100"/>
          </a:p>
          <a:p>
            <a:pPr indent="-298450" lvl="0" marL="4572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●"/>
            </a:pPr>
            <a:r>
              <a:rPr lang="en-US" sz="1100"/>
              <a:t>8 columns: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OrderID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Salesperson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Region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Product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Category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Units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UnitPrice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Revenue</a:t>
            </a:r>
            <a:endParaRPr sz="1100"/>
          </a:p>
          <a:p>
            <a:pPr indent="0" lvl="0" marL="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2135400" y="351375"/>
            <a:ext cx="2587200" cy="3957300"/>
          </a:xfrm>
          <a:prstGeom prst="rect">
            <a:avLst/>
          </a:prstGeom>
          <a:solidFill>
            <a:srgbClr val="D9EAD3"/>
          </a:solidFill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900"/>
              <a:t>20 practical tasks covering: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SUM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AVERAGE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SUMIF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AVERAGEIF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COUNT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COUNTA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COUNTIF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VLOOKUP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XLOOKUP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Conditional Formatting (rules)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Conditional Formatting (color scale)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Duplicate check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QUERY (Pivot)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SORT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Freeze rows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MAX/MIN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Percentage calculations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Filtering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Formula protection </a:t>
            </a:r>
            <a:endParaRPr sz="900"/>
          </a:p>
          <a:p>
            <a:pPr indent="0" lvl="0" marL="0" rtl="0" algn="l">
              <a:spcBef>
                <a:spcPts val="1200"/>
              </a:spcBef>
              <a:spcAft>
                <a:spcPts val="0"/>
              </a:spcAft>
              <a:buNone/>
            </a:pPr>
            <a:r>
              <a:t/>
            </a:r>
            <a:endParaRPr sz="900"/>
          </a:p>
        </xdr:txBody>
      </xdr:sp>
      <xdr:sp>
        <xdr:nvSpPr>
          <xdr:cNvPr id="5" name="Shape 5"/>
          <xdr:cNvSpPr txBox="1"/>
        </xdr:nvSpPr>
        <xdr:spPr>
          <a:xfrm>
            <a:off x="0" y="2571750"/>
            <a:ext cx="1929600" cy="1539300"/>
          </a:xfrm>
          <a:prstGeom prst="rect">
            <a:avLst/>
          </a:prstGeom>
          <a:solidFill>
            <a:srgbClr val="F4CCCC"/>
          </a:solidFill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Make a duplicate of this GS. </a:t>
            </a:r>
            <a:endParaRPr sz="11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Rename it: PIIT2 - GS Assignment - xxxxx </a:t>
            </a:r>
            <a:endParaRPr sz="11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(xxx- first name)</a:t>
            </a:r>
            <a:endParaRPr sz="11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Give commentator rights to everyone. Share it with PIIT Team/ Mandal</a:t>
            </a:r>
            <a:endParaRPr sz="11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30</xdr:row>
      <xdr:rowOff>-352425</xdr:rowOff>
    </xdr:from>
    <xdr:ext cx="5676900" cy="5067300"/>
    <xdr:grpSp>
      <xdr:nvGrpSpPr>
        <xdr:cNvPr id="2" name="Shape 2" title="Drawing"/>
        <xdr:cNvGrpSpPr/>
      </xdr:nvGrpSpPr>
      <xdr:grpSpPr>
        <a:xfrm>
          <a:off x="0" y="228675"/>
          <a:ext cx="4722600" cy="4080000"/>
          <a:chOff x="0" y="228675"/>
          <a:chExt cx="4722600" cy="4080000"/>
        </a:xfrm>
      </xdr:grpSpPr>
      <xdr:sp>
        <xdr:nvSpPr>
          <xdr:cNvPr id="3" name="Shape 3"/>
          <xdr:cNvSpPr txBox="1"/>
        </xdr:nvSpPr>
        <xdr:spPr>
          <a:xfrm>
            <a:off x="0" y="228675"/>
            <a:ext cx="1997700" cy="2262600"/>
          </a:xfrm>
          <a:prstGeom prst="rect">
            <a:avLst/>
          </a:prstGeom>
          <a:solidFill>
            <a:srgbClr val="FCE5CD"/>
          </a:solidFill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100"/>
              <a:t>SalesData</a:t>
            </a:r>
            <a:endParaRPr b="1" sz="1100"/>
          </a:p>
          <a:p>
            <a:pPr indent="-298450" lvl="0" marL="4572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●"/>
            </a:pPr>
            <a:r>
              <a:rPr lang="en-US" sz="1100"/>
              <a:t>25 sample records</a:t>
            </a:r>
            <a:endParaRPr sz="1100"/>
          </a:p>
          <a:p>
            <a:pPr indent="-298450" lvl="0" marL="4572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●"/>
            </a:pPr>
            <a:r>
              <a:rPr lang="en-US" sz="1100"/>
              <a:t>8 columns: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OrderID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Salesperson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Region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Product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Category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Units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UnitPrice</a:t>
            </a:r>
            <a:endParaRPr sz="1100"/>
          </a:p>
          <a:p>
            <a:pPr indent="-298450" lvl="1" marL="91440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SzPts val="1100"/>
              <a:buChar char="○"/>
            </a:pPr>
            <a:r>
              <a:rPr lang="en-US" sz="1100"/>
              <a:t>Revenue</a:t>
            </a:r>
            <a:endParaRPr sz="1100"/>
          </a:p>
          <a:p>
            <a:pPr indent="0" lvl="0" marL="0" rtl="0" algn="l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2135400" y="351375"/>
            <a:ext cx="2587200" cy="3957300"/>
          </a:xfrm>
          <a:prstGeom prst="rect">
            <a:avLst/>
          </a:prstGeom>
          <a:solidFill>
            <a:srgbClr val="D9EAD3"/>
          </a:solidFill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900"/>
              <a:t>20 practical tasks covering: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SUM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AVERAGE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SUMIF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AVERAGEIF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COUNT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COUNTA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COUNTIF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VLOOKUP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XLOOKUP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Conditional Formatting (rules)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Conditional Formatting (color scale)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Duplicate check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QUERY (Pivot)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SORT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Freeze rows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MAX/MIN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IF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Percentage calculations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Filtering</a:t>
            </a:r>
            <a:endParaRPr sz="900"/>
          </a:p>
          <a:p>
            <a:pPr indent="-266700" lvl="0" marL="45720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600"/>
              <a:buChar char="●"/>
            </a:pPr>
            <a:r>
              <a:rPr lang="en-US" sz="900"/>
              <a:t>✅ Formula protection </a:t>
            </a:r>
            <a:endParaRPr sz="900"/>
          </a:p>
          <a:p>
            <a:pPr indent="0" lvl="0" marL="0" rtl="0" algn="l">
              <a:spcBef>
                <a:spcPts val="1200"/>
              </a:spcBef>
              <a:spcAft>
                <a:spcPts val="0"/>
              </a:spcAft>
              <a:buNone/>
            </a:pPr>
            <a:r>
              <a:t/>
            </a:r>
            <a:endParaRPr sz="900"/>
          </a:p>
        </xdr:txBody>
      </xdr:sp>
      <xdr:sp>
        <xdr:nvSpPr>
          <xdr:cNvPr id="5" name="Shape 5"/>
          <xdr:cNvSpPr txBox="1"/>
        </xdr:nvSpPr>
        <xdr:spPr>
          <a:xfrm>
            <a:off x="0" y="2571750"/>
            <a:ext cx="1929600" cy="1539300"/>
          </a:xfrm>
          <a:prstGeom prst="rect">
            <a:avLst/>
          </a:prstGeom>
          <a:solidFill>
            <a:srgbClr val="F4CCCC"/>
          </a:solidFill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Make a duplicate of this GS. </a:t>
            </a:r>
            <a:endParaRPr sz="11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Rename it: PIIT2 - GS Assignment - xxxxx </a:t>
            </a:r>
            <a:endParaRPr sz="11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(xxx- first name)</a:t>
            </a:r>
            <a:endParaRPr sz="1100"/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100"/>
              <a:t>Give commentator rights to everyone. Share it with PIIT Team/ Mandal</a:t>
            </a:r>
            <a:endParaRPr sz="1100"/>
          </a:p>
        </xdr:txBody>
      </xdr: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uhammad Rasul" id="{a3d39b51-1c2f-459a-9221-2dba90fbb08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" dT="2026-07-01T02:27:47.00" personId="{a3d39b51-1c2f-459a-9221-2dba90fbb084}" id="{fc7ce6e3-95f9-4cb5-9db0-c405cd958633}" done="0">
    <x18tc:text xml:space="preserve">Duplicate OrderIDs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21.71"/>
    <col customWidth="1" min="6" max="6" width="5.71"/>
    <col customWidth="1" min="7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>
        <v>5.0</v>
      </c>
      <c r="G2" s="2">
        <v>500.0</v>
      </c>
      <c r="H2" s="2">
        <v>2500.0</v>
      </c>
    </row>
    <row r="3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2">
        <v>20.0</v>
      </c>
      <c r="G3" s="2">
        <v>20.0</v>
      </c>
      <c r="H3" s="2">
        <v>400.0</v>
      </c>
      <c r="S3" s="3"/>
    </row>
    <row r="4">
      <c r="A4" s="2" t="s">
        <v>18</v>
      </c>
      <c r="B4" s="2" t="s">
        <v>19</v>
      </c>
      <c r="C4" s="2" t="s">
        <v>20</v>
      </c>
      <c r="D4" s="2" t="s">
        <v>21</v>
      </c>
      <c r="E4" s="2" t="s">
        <v>17</v>
      </c>
      <c r="F4" s="2">
        <v>15.0</v>
      </c>
      <c r="G4" s="2">
        <v>30.0</v>
      </c>
      <c r="H4" s="2">
        <v>450.0</v>
      </c>
    </row>
    <row r="5">
      <c r="A5" s="2" t="s">
        <v>22</v>
      </c>
      <c r="B5" s="2" t="s">
        <v>23</v>
      </c>
      <c r="C5" s="2" t="s">
        <v>24</v>
      </c>
      <c r="D5" s="2" t="s">
        <v>25</v>
      </c>
      <c r="E5" s="2" t="s">
        <v>12</v>
      </c>
      <c r="F5" s="2">
        <v>7.0</v>
      </c>
      <c r="G5" s="2">
        <v>180.0</v>
      </c>
      <c r="H5" s="2">
        <v>1260.0</v>
      </c>
    </row>
    <row r="6">
      <c r="A6" s="2" t="s">
        <v>26</v>
      </c>
      <c r="B6" s="2" t="s">
        <v>9</v>
      </c>
      <c r="C6" s="2" t="s">
        <v>10</v>
      </c>
      <c r="D6" s="2" t="s">
        <v>27</v>
      </c>
      <c r="E6" s="2" t="s">
        <v>28</v>
      </c>
      <c r="F6" s="2">
        <v>3.0</v>
      </c>
      <c r="G6" s="2">
        <v>220.0</v>
      </c>
      <c r="H6" s="2">
        <v>660.0</v>
      </c>
    </row>
    <row r="7">
      <c r="A7" s="2" t="s">
        <v>29</v>
      </c>
      <c r="B7" s="2" t="s">
        <v>14</v>
      </c>
      <c r="C7" s="2" t="s">
        <v>20</v>
      </c>
      <c r="D7" s="2" t="s">
        <v>11</v>
      </c>
      <c r="E7" s="2" t="s">
        <v>12</v>
      </c>
      <c r="F7" s="2">
        <v>2.0</v>
      </c>
      <c r="G7" s="2">
        <v>500.0</v>
      </c>
      <c r="H7" s="2">
        <v>1000.0</v>
      </c>
    </row>
    <row r="8">
      <c r="A8" s="2" t="s">
        <v>30</v>
      </c>
      <c r="B8" s="2" t="s">
        <v>19</v>
      </c>
      <c r="C8" s="2" t="s">
        <v>15</v>
      </c>
      <c r="D8" s="2" t="s">
        <v>31</v>
      </c>
      <c r="E8" s="2" t="s">
        <v>32</v>
      </c>
      <c r="F8" s="2">
        <v>6.0</v>
      </c>
      <c r="G8" s="2">
        <v>90.0</v>
      </c>
      <c r="H8" s="2">
        <v>540.0</v>
      </c>
    </row>
    <row r="9">
      <c r="A9" s="2" t="s">
        <v>33</v>
      </c>
      <c r="B9" s="2" t="s">
        <v>23</v>
      </c>
      <c r="C9" s="2" t="s">
        <v>24</v>
      </c>
      <c r="D9" s="2" t="s">
        <v>34</v>
      </c>
      <c r="E9" s="2" t="s">
        <v>32</v>
      </c>
      <c r="F9" s="2">
        <v>2.0</v>
      </c>
      <c r="G9" s="2">
        <v>200.0</v>
      </c>
      <c r="H9" s="2">
        <v>400.0</v>
      </c>
    </row>
    <row r="10">
      <c r="A10" s="2" t="s">
        <v>35</v>
      </c>
      <c r="B10" s="2" t="s">
        <v>9</v>
      </c>
      <c r="C10" s="2" t="s">
        <v>20</v>
      </c>
      <c r="D10" s="2" t="s">
        <v>16</v>
      </c>
      <c r="E10" s="2" t="s">
        <v>17</v>
      </c>
      <c r="F10" s="2">
        <v>25.0</v>
      </c>
      <c r="G10" s="2">
        <v>20.0</v>
      </c>
      <c r="H10" s="2">
        <v>500.0</v>
      </c>
    </row>
    <row r="11">
      <c r="A11" s="2" t="s">
        <v>36</v>
      </c>
      <c r="B11" s="2" t="s">
        <v>14</v>
      </c>
      <c r="C11" s="2" t="s">
        <v>10</v>
      </c>
      <c r="D11" s="2" t="s">
        <v>25</v>
      </c>
      <c r="E11" s="2" t="s">
        <v>12</v>
      </c>
      <c r="F11" s="2">
        <v>4.0</v>
      </c>
      <c r="G11" s="2">
        <v>180.0</v>
      </c>
      <c r="H11" s="2">
        <v>720.0</v>
      </c>
    </row>
    <row r="12">
      <c r="A12" s="2" t="s">
        <v>37</v>
      </c>
      <c r="B12" s="2" t="s">
        <v>19</v>
      </c>
      <c r="C12" s="2" t="s">
        <v>24</v>
      </c>
      <c r="D12" s="2" t="s">
        <v>11</v>
      </c>
      <c r="E12" s="2" t="s">
        <v>12</v>
      </c>
      <c r="F12" s="2">
        <v>3.0</v>
      </c>
      <c r="G12" s="2">
        <v>500.0</v>
      </c>
      <c r="H12" s="2">
        <v>1500.0</v>
      </c>
    </row>
    <row r="13">
      <c r="A13" s="2" t="s">
        <v>38</v>
      </c>
      <c r="B13" s="2" t="s">
        <v>23</v>
      </c>
      <c r="C13" s="2" t="s">
        <v>15</v>
      </c>
      <c r="D13" s="2" t="s">
        <v>27</v>
      </c>
      <c r="E13" s="2" t="s">
        <v>28</v>
      </c>
      <c r="F13" s="2">
        <v>4.0</v>
      </c>
      <c r="G13" s="2">
        <v>220.0</v>
      </c>
      <c r="H13" s="2">
        <v>880.0</v>
      </c>
    </row>
    <row r="14">
      <c r="A14" s="2" t="s">
        <v>39</v>
      </c>
      <c r="B14" s="2" t="s">
        <v>9</v>
      </c>
      <c r="C14" s="2" t="s">
        <v>10</v>
      </c>
      <c r="D14" s="2" t="s">
        <v>21</v>
      </c>
      <c r="E14" s="2" t="s">
        <v>17</v>
      </c>
      <c r="F14" s="2">
        <v>10.0</v>
      </c>
      <c r="G14" s="2">
        <v>30.0</v>
      </c>
      <c r="H14" s="2">
        <v>300.0</v>
      </c>
    </row>
    <row r="15">
      <c r="A15" s="2" t="s">
        <v>40</v>
      </c>
      <c r="B15" s="2" t="s">
        <v>14</v>
      </c>
      <c r="C15" s="2" t="s">
        <v>24</v>
      </c>
      <c r="D15" s="2" t="s">
        <v>34</v>
      </c>
      <c r="E15" s="2" t="s">
        <v>32</v>
      </c>
      <c r="F15" s="2">
        <v>1.0</v>
      </c>
      <c r="G15" s="2">
        <v>200.0</v>
      </c>
      <c r="H15" s="2">
        <v>200.0</v>
      </c>
    </row>
    <row r="16">
      <c r="A16" s="2" t="s">
        <v>41</v>
      </c>
      <c r="B16" s="2" t="s">
        <v>19</v>
      </c>
      <c r="C16" s="2" t="s">
        <v>20</v>
      </c>
      <c r="D16" s="2" t="s">
        <v>31</v>
      </c>
      <c r="E16" s="2" t="s">
        <v>32</v>
      </c>
      <c r="F16" s="2">
        <v>8.0</v>
      </c>
      <c r="G16" s="2">
        <v>90.0</v>
      </c>
      <c r="H16" s="2">
        <v>720.0</v>
      </c>
    </row>
    <row r="17">
      <c r="A17" s="2" t="s">
        <v>42</v>
      </c>
      <c r="B17" s="2" t="s">
        <v>23</v>
      </c>
      <c r="C17" s="2" t="s">
        <v>10</v>
      </c>
      <c r="D17" s="2" t="s">
        <v>11</v>
      </c>
      <c r="E17" s="2" t="s">
        <v>12</v>
      </c>
      <c r="F17" s="2">
        <v>6.0</v>
      </c>
      <c r="G17" s="2">
        <v>500.0</v>
      </c>
      <c r="H17" s="2">
        <v>3000.0</v>
      </c>
    </row>
    <row r="18">
      <c r="A18" s="2" t="s">
        <v>43</v>
      </c>
      <c r="B18" s="2" t="s">
        <v>9</v>
      </c>
      <c r="C18" s="2" t="s">
        <v>15</v>
      </c>
      <c r="D18" s="2" t="s">
        <v>25</v>
      </c>
      <c r="E18" s="2" t="s">
        <v>12</v>
      </c>
      <c r="F18" s="2">
        <v>5.0</v>
      </c>
      <c r="G18" s="2">
        <v>180.0</v>
      </c>
      <c r="H18" s="2">
        <v>900.0</v>
      </c>
    </row>
    <row r="19">
      <c r="A19" s="2" t="s">
        <v>44</v>
      </c>
      <c r="B19" s="2" t="s">
        <v>14</v>
      </c>
      <c r="C19" s="2" t="s">
        <v>20</v>
      </c>
      <c r="D19" s="2" t="s">
        <v>27</v>
      </c>
      <c r="E19" s="2" t="s">
        <v>28</v>
      </c>
      <c r="F19" s="2">
        <v>2.0</v>
      </c>
      <c r="G19" s="2">
        <v>220.0</v>
      </c>
      <c r="H19" s="2">
        <v>440.0</v>
      </c>
    </row>
    <row r="20">
      <c r="A20" s="2" t="s">
        <v>45</v>
      </c>
      <c r="B20" s="2" t="s">
        <v>19</v>
      </c>
      <c r="C20" s="2" t="s">
        <v>24</v>
      </c>
      <c r="D20" s="2" t="s">
        <v>16</v>
      </c>
      <c r="E20" s="2" t="s">
        <v>17</v>
      </c>
      <c r="F20" s="2">
        <v>18.0</v>
      </c>
      <c r="G20" s="2">
        <v>20.0</v>
      </c>
      <c r="H20" s="2">
        <v>360.0</v>
      </c>
    </row>
    <row r="21" ht="15.75" customHeight="1">
      <c r="A21" s="2" t="s">
        <v>46</v>
      </c>
      <c r="B21" s="2" t="s">
        <v>23</v>
      </c>
      <c r="C21" s="2" t="s">
        <v>15</v>
      </c>
      <c r="D21" s="2" t="s">
        <v>21</v>
      </c>
      <c r="E21" s="2" t="s">
        <v>17</v>
      </c>
      <c r="F21" s="2">
        <v>14.0</v>
      </c>
      <c r="G21" s="2">
        <v>30.0</v>
      </c>
      <c r="H21" s="2">
        <v>420.0</v>
      </c>
    </row>
    <row r="22" ht="15.75" customHeight="1">
      <c r="A22" s="2" t="s">
        <v>47</v>
      </c>
      <c r="B22" s="2" t="s">
        <v>9</v>
      </c>
      <c r="C22" s="2" t="s">
        <v>10</v>
      </c>
      <c r="D22" s="2" t="s">
        <v>34</v>
      </c>
      <c r="E22" s="2" t="s">
        <v>32</v>
      </c>
      <c r="F22" s="2">
        <v>2.0</v>
      </c>
      <c r="G22" s="2">
        <v>200.0</v>
      </c>
      <c r="H22" s="2">
        <v>400.0</v>
      </c>
    </row>
    <row r="23" ht="15.75" customHeight="1">
      <c r="A23" s="2" t="s">
        <v>48</v>
      </c>
      <c r="B23" s="2" t="s">
        <v>14</v>
      </c>
      <c r="C23" s="2" t="s">
        <v>20</v>
      </c>
      <c r="D23" s="2" t="s">
        <v>31</v>
      </c>
      <c r="E23" s="2" t="s">
        <v>32</v>
      </c>
      <c r="F23" s="2">
        <v>5.0</v>
      </c>
      <c r="G23" s="2">
        <v>90.0</v>
      </c>
      <c r="H23" s="2">
        <v>450.0</v>
      </c>
    </row>
    <row r="24" ht="15.75" customHeight="1">
      <c r="A24" s="2" t="s">
        <v>49</v>
      </c>
      <c r="B24" s="2" t="s">
        <v>19</v>
      </c>
      <c r="C24" s="2" t="s">
        <v>15</v>
      </c>
      <c r="D24" s="2" t="s">
        <v>11</v>
      </c>
      <c r="E24" s="2" t="s">
        <v>12</v>
      </c>
      <c r="F24" s="2">
        <v>4.0</v>
      </c>
      <c r="G24" s="2">
        <v>500.0</v>
      </c>
      <c r="H24" s="2">
        <v>2000.0</v>
      </c>
    </row>
    <row r="25" ht="15.75" customHeight="1">
      <c r="A25" s="2" t="s">
        <v>50</v>
      </c>
      <c r="B25" s="2" t="s">
        <v>23</v>
      </c>
      <c r="C25" s="2" t="s">
        <v>24</v>
      </c>
      <c r="D25" s="2" t="s">
        <v>25</v>
      </c>
      <c r="E25" s="2" t="s">
        <v>12</v>
      </c>
      <c r="F25" s="2">
        <v>9.0</v>
      </c>
      <c r="G25" s="2">
        <v>180.0</v>
      </c>
      <c r="H25" s="2">
        <v>1620.0</v>
      </c>
    </row>
    <row r="26" ht="15.75" customHeight="1">
      <c r="A26" s="2" t="s">
        <v>50</v>
      </c>
      <c r="B26" s="2" t="s">
        <v>23</v>
      </c>
      <c r="C26" s="2" t="s">
        <v>24</v>
      </c>
      <c r="D26" s="2" t="s">
        <v>25</v>
      </c>
      <c r="E26" s="2" t="s">
        <v>12</v>
      </c>
      <c r="F26" s="2">
        <v>9.0</v>
      </c>
      <c r="G26" s="2">
        <v>180.0</v>
      </c>
      <c r="H26" s="2">
        <v>1620.0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2.43"/>
    <col customWidth="1" min="3" max="3" width="12.86"/>
    <col customWidth="1" min="4" max="4" width="10.86"/>
    <col customWidth="1" min="5" max="5" width="15.86"/>
    <col customWidth="1" min="6" max="6" width="8.43"/>
    <col customWidth="1" min="7" max="7" width="11.86"/>
    <col customWidth="1" min="8" max="8" width="11.71"/>
    <col customWidth="1" min="9" max="9" width="18.57"/>
    <col customWidth="1" min="10" max="10" width="38.0"/>
    <col customWidth="1" min="11" max="11" width="19.43"/>
    <col customWidth="1" min="12" max="12" width="33.86"/>
    <col customWidth="1" min="13" max="17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5" t="s">
        <v>51</v>
      </c>
      <c r="F1" s="4" t="s">
        <v>5</v>
      </c>
      <c r="G1" s="4" t="s">
        <v>6</v>
      </c>
      <c r="H1" s="4" t="s">
        <v>7</v>
      </c>
      <c r="I1" s="5" t="s">
        <v>52</v>
      </c>
      <c r="J1" s="6"/>
      <c r="K1" s="5" t="s">
        <v>53</v>
      </c>
      <c r="L1" s="5" t="s">
        <v>54</v>
      </c>
      <c r="M1" s="7"/>
      <c r="N1" s="7"/>
      <c r="O1" s="7"/>
      <c r="P1" s="7"/>
      <c r="Q1" s="7"/>
    </row>
    <row r="2">
      <c r="A2" s="8" t="s">
        <v>42</v>
      </c>
      <c r="B2" s="8" t="s">
        <v>23</v>
      </c>
      <c r="C2" s="8" t="s">
        <v>10</v>
      </c>
      <c r="D2" s="8" t="s">
        <v>11</v>
      </c>
      <c r="E2" s="8" t="str">
        <f>VLOOKUP(D2, LookupTable!A:B, 2, FALSE)
</f>
        <v>Electronics</v>
      </c>
      <c r="F2" s="8">
        <v>6.0</v>
      </c>
      <c r="G2" s="8">
        <v>500.0</v>
      </c>
      <c r="H2" s="8">
        <v>3000.0</v>
      </c>
      <c r="I2" s="8" t="str">
        <f t="array" ref="I2">XLOOKUP(D2, LookupTable!A:A, LookupTable!B:B, "")
</f>
        <v>Electronics</v>
      </c>
      <c r="J2" s="9" t="s">
        <v>55</v>
      </c>
      <c r="K2" s="10">
        <f t="shared" ref="K2:K26" si="1">H2/SUM(H$2:H$26)</f>
        <v>0.1290877797</v>
      </c>
      <c r="L2" s="8" t="str">
        <f t="shared" ref="L2:L27" si="2">IF(H2&gt;=1000, "High", "Low")</f>
        <v>High</v>
      </c>
      <c r="M2" s="8"/>
      <c r="N2" s="8"/>
      <c r="O2" s="8"/>
      <c r="P2" s="8"/>
      <c r="Q2" s="8"/>
    </row>
    <row r="3">
      <c r="A3" s="8" t="s">
        <v>8</v>
      </c>
      <c r="B3" s="11" t="s">
        <v>9</v>
      </c>
      <c r="C3" s="8" t="s">
        <v>10</v>
      </c>
      <c r="D3" s="8" t="s">
        <v>11</v>
      </c>
      <c r="E3" s="8" t="str">
        <f>VLOOKUP(D3, LookupTable!A:B, 2, FALSE)
</f>
        <v>Electronics</v>
      </c>
      <c r="F3" s="8">
        <v>5.0</v>
      </c>
      <c r="G3" s="8">
        <v>500.0</v>
      </c>
      <c r="H3" s="8">
        <v>2500.0</v>
      </c>
      <c r="I3" s="8" t="str">
        <f t="array" ref="I3">XLOOKUP(D3, LookupTable!A:A, LookupTable!B:B, "")
</f>
        <v>Electronics</v>
      </c>
      <c r="J3" s="12">
        <f>SUM(H2:H26)</f>
        <v>23240</v>
      </c>
      <c r="K3" s="10">
        <f t="shared" si="1"/>
        <v>0.1075731497</v>
      </c>
      <c r="L3" s="8" t="str">
        <f t="shared" si="2"/>
        <v>High</v>
      </c>
      <c r="M3" s="8"/>
      <c r="N3" s="8"/>
      <c r="O3" s="8"/>
      <c r="P3" s="8"/>
      <c r="Q3" s="8"/>
    </row>
    <row r="4">
      <c r="A4" s="8" t="s">
        <v>49</v>
      </c>
      <c r="B4" s="8" t="s">
        <v>19</v>
      </c>
      <c r="C4" s="8" t="s">
        <v>15</v>
      </c>
      <c r="D4" s="8" t="s">
        <v>11</v>
      </c>
      <c r="E4" s="8" t="str">
        <f>VLOOKUP(D4, LookupTable!A:B, 2, FALSE)
</f>
        <v>Electronics</v>
      </c>
      <c r="F4" s="8">
        <v>4.0</v>
      </c>
      <c r="G4" s="8">
        <v>500.0</v>
      </c>
      <c r="H4" s="8">
        <v>2000.0</v>
      </c>
      <c r="I4" s="8" t="str">
        <f t="array" ref="I4">XLOOKUP(D4, LookupTable!A:A, LookupTable!B:B, "")
</f>
        <v>Electronics</v>
      </c>
      <c r="J4" s="13"/>
      <c r="K4" s="10">
        <f t="shared" si="1"/>
        <v>0.08605851979</v>
      </c>
      <c r="L4" s="8" t="str">
        <f t="shared" si="2"/>
        <v>High</v>
      </c>
      <c r="M4" s="8"/>
      <c r="N4" s="8"/>
      <c r="O4" s="8"/>
      <c r="P4" s="8"/>
      <c r="Q4" s="8"/>
    </row>
    <row r="5">
      <c r="A5" s="8" t="s">
        <v>50</v>
      </c>
      <c r="B5" s="8" t="s">
        <v>23</v>
      </c>
      <c r="C5" s="8" t="s">
        <v>24</v>
      </c>
      <c r="D5" s="8" t="s">
        <v>25</v>
      </c>
      <c r="E5" s="8" t="str">
        <f>VLOOKUP(D5, LookupTable!A:B, 2, FALSE)
</f>
        <v>Electronics</v>
      </c>
      <c r="F5" s="8">
        <v>9.0</v>
      </c>
      <c r="G5" s="8">
        <v>180.0</v>
      </c>
      <c r="H5" s="8">
        <v>1620.0</v>
      </c>
      <c r="I5" s="8" t="str">
        <f t="array" ref="I5">XLOOKUP(D5, LookupTable!A:A, LookupTable!B:B, "")
</f>
        <v>Electronics</v>
      </c>
      <c r="J5" s="9" t="s">
        <v>56</v>
      </c>
      <c r="K5" s="10">
        <f t="shared" si="1"/>
        <v>0.06970740103</v>
      </c>
      <c r="L5" s="8" t="str">
        <f t="shared" si="2"/>
        <v>High</v>
      </c>
      <c r="M5" s="8"/>
      <c r="N5" s="8"/>
      <c r="O5" s="8"/>
      <c r="P5" s="8"/>
      <c r="Q5" s="8"/>
    </row>
    <row r="6">
      <c r="A6" s="8" t="s">
        <v>50</v>
      </c>
      <c r="B6" s="8" t="s">
        <v>23</v>
      </c>
      <c r="C6" s="11" t="s">
        <v>24</v>
      </c>
      <c r="D6" s="8" t="s">
        <v>25</v>
      </c>
      <c r="E6" s="8" t="str">
        <f>VLOOKUP(D6, LookupTable!A:B, 2, FALSE)
</f>
        <v>Electronics</v>
      </c>
      <c r="F6" s="8">
        <v>9.0</v>
      </c>
      <c r="G6" s="8">
        <v>180.0</v>
      </c>
      <c r="H6" s="8">
        <v>1620.0</v>
      </c>
      <c r="I6" s="8" t="str">
        <f t="array" ref="I6">XLOOKUP(D6, LookupTable!A:A, LookupTable!B:B, "")
</f>
        <v>Electronics</v>
      </c>
      <c r="J6" s="14">
        <f>AVERAGE(H2:H26)</f>
        <v>929.6</v>
      </c>
      <c r="K6" s="10">
        <f t="shared" si="1"/>
        <v>0.06970740103</v>
      </c>
      <c r="L6" s="8" t="str">
        <f t="shared" si="2"/>
        <v>High</v>
      </c>
      <c r="M6" s="8"/>
      <c r="N6" s="8"/>
      <c r="O6" s="8"/>
      <c r="P6" s="8"/>
      <c r="Q6" s="8"/>
    </row>
    <row r="7">
      <c r="A7" s="8" t="s">
        <v>37</v>
      </c>
      <c r="B7" s="8" t="s">
        <v>19</v>
      </c>
      <c r="C7" s="8" t="s">
        <v>24</v>
      </c>
      <c r="D7" s="8" t="s">
        <v>11</v>
      </c>
      <c r="E7" s="8" t="str">
        <f>VLOOKUP(D7, LookupTable!A:B, 2, FALSE)
</f>
        <v>Electronics</v>
      </c>
      <c r="F7" s="15">
        <v>3.0</v>
      </c>
      <c r="G7" s="8">
        <v>500.0</v>
      </c>
      <c r="H7" s="8">
        <v>1500.0</v>
      </c>
      <c r="I7" s="8" t="str">
        <f t="array" ref="I7">XLOOKUP(D7, LookupTable!A:A, LookupTable!B:B, "")
</f>
        <v>Electronics</v>
      </c>
      <c r="J7" s="13"/>
      <c r="K7" s="10">
        <f t="shared" si="1"/>
        <v>0.06454388985</v>
      </c>
      <c r="L7" s="8" t="str">
        <f t="shared" si="2"/>
        <v>High</v>
      </c>
      <c r="M7" s="8"/>
      <c r="N7" s="8"/>
      <c r="O7" s="8"/>
      <c r="P7" s="8"/>
      <c r="Q7" s="8"/>
    </row>
    <row r="8">
      <c r="A8" s="8" t="s">
        <v>22</v>
      </c>
      <c r="B8" s="8" t="s">
        <v>23</v>
      </c>
      <c r="C8" s="8" t="s">
        <v>24</v>
      </c>
      <c r="D8" s="8" t="s">
        <v>25</v>
      </c>
      <c r="E8" s="8" t="str">
        <f>VLOOKUP(D8, LookupTable!A:B, 2, FALSE)
</f>
        <v>Electronics</v>
      </c>
      <c r="F8" s="8">
        <v>7.0</v>
      </c>
      <c r="G8" s="8">
        <v>180.0</v>
      </c>
      <c r="H8" s="8">
        <v>1260.0</v>
      </c>
      <c r="I8" s="8" t="str">
        <f t="array" ref="I8">XLOOKUP(D8, LookupTable!A:A, LookupTable!B:B, "")
</f>
        <v>Electronics</v>
      </c>
      <c r="J8" s="9" t="s">
        <v>57</v>
      </c>
      <c r="K8" s="10">
        <f t="shared" si="1"/>
        <v>0.05421686747</v>
      </c>
      <c r="L8" s="8" t="str">
        <f t="shared" si="2"/>
        <v>High</v>
      </c>
      <c r="M8" s="8"/>
      <c r="N8" s="8"/>
      <c r="O8" s="8"/>
      <c r="P8" s="8"/>
      <c r="Q8" s="8"/>
    </row>
    <row r="9">
      <c r="A9" s="8" t="s">
        <v>29</v>
      </c>
      <c r="B9" s="8" t="s">
        <v>14</v>
      </c>
      <c r="C9" s="8" t="s">
        <v>20</v>
      </c>
      <c r="D9" s="8" t="s">
        <v>11</v>
      </c>
      <c r="E9" s="8" t="str">
        <f>VLOOKUP(D9, LookupTable!A:B, 2, FALSE)
</f>
        <v>Electronics</v>
      </c>
      <c r="F9" s="8">
        <v>2.0</v>
      </c>
      <c r="G9" s="8">
        <v>500.0</v>
      </c>
      <c r="H9" s="8">
        <v>1000.0</v>
      </c>
      <c r="I9" s="8" t="str">
        <f t="array" ref="I9">XLOOKUP(D9, LookupTable!A:A, LookupTable!B:B, "")
</f>
        <v>Electronics</v>
      </c>
      <c r="J9" s="12">
        <f>COUNTA(A2:A26)</f>
        <v>25</v>
      </c>
      <c r="K9" s="10">
        <f t="shared" si="1"/>
        <v>0.0430292599</v>
      </c>
      <c r="L9" s="8" t="str">
        <f t="shared" si="2"/>
        <v>High</v>
      </c>
      <c r="M9" s="8"/>
      <c r="N9" s="8"/>
      <c r="O9" s="8"/>
      <c r="P9" s="8"/>
      <c r="Q9" s="8"/>
    </row>
    <row r="10">
      <c r="A10" s="8" t="s">
        <v>43</v>
      </c>
      <c r="B10" s="8" t="s">
        <v>9</v>
      </c>
      <c r="C10" s="8" t="s">
        <v>15</v>
      </c>
      <c r="D10" s="8" t="s">
        <v>25</v>
      </c>
      <c r="E10" s="8" t="str">
        <f>VLOOKUP(D10, LookupTable!A:B, 2, FALSE)
</f>
        <v>Electronics</v>
      </c>
      <c r="F10" s="8">
        <v>5.0</v>
      </c>
      <c r="G10" s="8">
        <v>180.0</v>
      </c>
      <c r="H10" s="8">
        <v>900.0</v>
      </c>
      <c r="I10" s="8" t="str">
        <f t="array" ref="I10">XLOOKUP(D10, LookupTable!A:A, LookupTable!B:B, "")
</f>
        <v>Electronics</v>
      </c>
      <c r="J10" s="16"/>
      <c r="K10" s="10">
        <f t="shared" si="1"/>
        <v>0.03872633391</v>
      </c>
      <c r="L10" s="8" t="str">
        <f t="shared" si="2"/>
        <v>Low</v>
      </c>
      <c r="M10" s="8"/>
      <c r="N10" s="8"/>
      <c r="O10" s="8"/>
      <c r="P10" s="8"/>
      <c r="Q10" s="8"/>
    </row>
    <row r="11">
      <c r="A11" s="8" t="s">
        <v>38</v>
      </c>
      <c r="B11" s="8" t="s">
        <v>23</v>
      </c>
      <c r="C11" s="8" t="s">
        <v>15</v>
      </c>
      <c r="D11" s="8" t="s">
        <v>27</v>
      </c>
      <c r="E11" s="8" t="str">
        <f>VLOOKUP(D11, LookupTable!A:B, 2, FALSE)
</f>
        <v>Office</v>
      </c>
      <c r="F11" s="8">
        <v>4.0</v>
      </c>
      <c r="G11" s="8">
        <v>220.0</v>
      </c>
      <c r="H11" s="8">
        <v>880.0</v>
      </c>
      <c r="I11" s="8" t="str">
        <f t="array" ref="I11">XLOOKUP(D11, LookupTable!A:A, LookupTable!B:B, "")
</f>
        <v>Office</v>
      </c>
      <c r="J11" s="9" t="s">
        <v>58</v>
      </c>
      <c r="K11" s="10">
        <f t="shared" si="1"/>
        <v>0.03786574871</v>
      </c>
      <c r="L11" s="8" t="str">
        <f t="shared" si="2"/>
        <v>Low</v>
      </c>
      <c r="M11" s="8"/>
      <c r="N11" s="8"/>
      <c r="O11" s="8"/>
      <c r="P11" s="8"/>
      <c r="Q11" s="8"/>
    </row>
    <row r="12">
      <c r="A12" s="8" t="s">
        <v>36</v>
      </c>
      <c r="B12" s="8" t="s">
        <v>14</v>
      </c>
      <c r="C12" s="8" t="s">
        <v>10</v>
      </c>
      <c r="D12" s="8" t="s">
        <v>25</v>
      </c>
      <c r="E12" s="8" t="str">
        <f>VLOOKUP(D12, LookupTable!A:B, 2, FALSE)
</f>
        <v>Electronics</v>
      </c>
      <c r="F12" s="8">
        <v>4.0</v>
      </c>
      <c r="G12" s="8">
        <v>180.0</v>
      </c>
      <c r="H12" s="8">
        <v>720.0</v>
      </c>
      <c r="I12" s="8" t="str">
        <f t="array" ref="I12">XLOOKUP(D12, LookupTable!A:A, LookupTable!B:B, "")
</f>
        <v>Electronics</v>
      </c>
      <c r="J12" s="12">
        <f>COUNT(H2:H26)</f>
        <v>25</v>
      </c>
      <c r="K12" s="10">
        <f t="shared" si="1"/>
        <v>0.03098106713</v>
      </c>
      <c r="L12" s="8" t="str">
        <f t="shared" si="2"/>
        <v>Low</v>
      </c>
      <c r="M12" s="8"/>
      <c r="N12" s="8"/>
      <c r="O12" s="8"/>
      <c r="P12" s="8"/>
      <c r="Q12" s="8"/>
    </row>
    <row r="13">
      <c r="A13" s="8" t="s">
        <v>41</v>
      </c>
      <c r="B13" s="8" t="s">
        <v>19</v>
      </c>
      <c r="C13" s="8" t="s">
        <v>20</v>
      </c>
      <c r="D13" s="8" t="s">
        <v>31</v>
      </c>
      <c r="E13" s="8" t="str">
        <f>VLOOKUP(D13, LookupTable!A:B, 2, FALSE)
</f>
        <v>Furniture</v>
      </c>
      <c r="F13" s="8">
        <v>8.0</v>
      </c>
      <c r="G13" s="8">
        <v>90.0</v>
      </c>
      <c r="H13" s="8">
        <v>720.0</v>
      </c>
      <c r="I13" s="8" t="str">
        <f t="array" ref="I13">XLOOKUP(D13, LookupTable!A:A, LookupTable!B:B, "")
</f>
        <v>Furniture</v>
      </c>
      <c r="J13" s="13"/>
      <c r="K13" s="10">
        <f t="shared" si="1"/>
        <v>0.03098106713</v>
      </c>
      <c r="L13" s="8" t="str">
        <f t="shared" si="2"/>
        <v>Low</v>
      </c>
      <c r="M13" s="8"/>
      <c r="N13" s="8"/>
      <c r="O13" s="8"/>
      <c r="P13" s="8"/>
      <c r="Q13" s="8"/>
    </row>
    <row r="14">
      <c r="A14" s="8" t="s">
        <v>26</v>
      </c>
      <c r="B14" s="8" t="s">
        <v>9</v>
      </c>
      <c r="C14" s="8" t="s">
        <v>10</v>
      </c>
      <c r="D14" s="8" t="s">
        <v>27</v>
      </c>
      <c r="E14" s="8" t="str">
        <f>VLOOKUP(D14, LookupTable!A:B, 2, FALSE)
</f>
        <v>Office</v>
      </c>
      <c r="F14" s="8">
        <v>3.0</v>
      </c>
      <c r="G14" s="8">
        <v>220.0</v>
      </c>
      <c r="H14" s="8">
        <v>660.0</v>
      </c>
      <c r="I14" s="8" t="str">
        <f t="array" ref="I14">XLOOKUP(D14, LookupTable!A:A, LookupTable!B:B, "")
</f>
        <v>Office</v>
      </c>
      <c r="J14" s="9" t="s">
        <v>59</v>
      </c>
      <c r="K14" s="10">
        <f t="shared" si="1"/>
        <v>0.02839931153</v>
      </c>
      <c r="L14" s="8" t="str">
        <f t="shared" si="2"/>
        <v>Low</v>
      </c>
      <c r="M14" s="8"/>
      <c r="N14" s="8"/>
      <c r="O14" s="8"/>
      <c r="P14" s="8"/>
      <c r="Q14" s="8"/>
    </row>
    <row r="15">
      <c r="A15" s="8" t="s">
        <v>30</v>
      </c>
      <c r="B15" s="8" t="s">
        <v>19</v>
      </c>
      <c r="C15" s="8" t="s">
        <v>15</v>
      </c>
      <c r="D15" s="8" t="s">
        <v>31</v>
      </c>
      <c r="E15" s="8" t="str">
        <f>VLOOKUP(D15, LookupTable!A:B, 2, FALSE)
</f>
        <v>Furniture</v>
      </c>
      <c r="F15" s="8">
        <v>6.0</v>
      </c>
      <c r="G15" s="8">
        <v>90.0</v>
      </c>
      <c r="H15" s="8">
        <v>540.0</v>
      </c>
      <c r="I15" s="8" t="str">
        <f t="array" ref="I15">XLOOKUP(D15, LookupTable!A:A, LookupTable!B:B, "")
</f>
        <v>Furniture</v>
      </c>
      <c r="J15" s="12">
        <f>COUNTIF(C2:C26, "North")</f>
        <v>6</v>
      </c>
      <c r="K15" s="10">
        <f t="shared" si="1"/>
        <v>0.02323580034</v>
      </c>
      <c r="L15" s="8" t="str">
        <f t="shared" si="2"/>
        <v>Low</v>
      </c>
      <c r="M15" s="8"/>
      <c r="N15" s="8"/>
      <c r="O15" s="8"/>
      <c r="P15" s="8"/>
      <c r="Q15" s="8"/>
    </row>
    <row r="16">
      <c r="A16" s="8" t="s">
        <v>35</v>
      </c>
      <c r="B16" s="8" t="s">
        <v>9</v>
      </c>
      <c r="C16" s="8" t="s">
        <v>20</v>
      </c>
      <c r="D16" s="8" t="s">
        <v>16</v>
      </c>
      <c r="E16" s="8" t="str">
        <f>VLOOKUP(D16, LookupTable!A:B, 2, FALSE)
</f>
        <v>Accessories</v>
      </c>
      <c r="F16" s="8">
        <v>25.0</v>
      </c>
      <c r="G16" s="8">
        <v>20.0</v>
      </c>
      <c r="H16" s="8">
        <v>500.0</v>
      </c>
      <c r="I16" s="8" t="str">
        <f t="array" ref="I16">XLOOKUP(D16, LookupTable!A:A, LookupTable!B:B, "")
</f>
        <v>Accessories</v>
      </c>
      <c r="J16" s="13"/>
      <c r="K16" s="10">
        <f t="shared" si="1"/>
        <v>0.02151462995</v>
      </c>
      <c r="L16" s="8" t="str">
        <f t="shared" si="2"/>
        <v>Low</v>
      </c>
      <c r="M16" s="8"/>
      <c r="N16" s="8"/>
      <c r="O16" s="8"/>
      <c r="P16" s="8"/>
      <c r="Q16" s="8"/>
    </row>
    <row r="17">
      <c r="A17" s="8" t="s">
        <v>18</v>
      </c>
      <c r="B17" s="8" t="s">
        <v>19</v>
      </c>
      <c r="C17" s="8" t="s">
        <v>20</v>
      </c>
      <c r="D17" s="8" t="s">
        <v>21</v>
      </c>
      <c r="E17" s="8" t="str">
        <f>VLOOKUP(D17, LookupTable!A:B, 2, FALSE)
</f>
        <v>Accessories</v>
      </c>
      <c r="F17" s="8">
        <v>15.0</v>
      </c>
      <c r="G17" s="8">
        <v>30.0</v>
      </c>
      <c r="H17" s="8">
        <v>450.0</v>
      </c>
      <c r="I17" s="8" t="str">
        <f t="array" ref="I17">XLOOKUP(D17, LookupTable!A:A, LookupTable!B:B, "")
</f>
        <v>Accessories</v>
      </c>
      <c r="J17" s="9" t="s">
        <v>60</v>
      </c>
      <c r="K17" s="10">
        <f t="shared" si="1"/>
        <v>0.01936316695</v>
      </c>
      <c r="L17" s="8" t="str">
        <f t="shared" si="2"/>
        <v>Low</v>
      </c>
      <c r="M17" s="8"/>
      <c r="N17" s="8"/>
      <c r="O17" s="8"/>
      <c r="P17" s="8"/>
      <c r="Q17" s="8"/>
    </row>
    <row r="18">
      <c r="A18" s="8" t="s">
        <v>48</v>
      </c>
      <c r="B18" s="8" t="s">
        <v>14</v>
      </c>
      <c r="C18" s="8" t="s">
        <v>20</v>
      </c>
      <c r="D18" s="8" t="s">
        <v>31</v>
      </c>
      <c r="E18" s="8" t="str">
        <f>VLOOKUP(D18, LookupTable!A:B, 2, FALSE)
</f>
        <v>Furniture</v>
      </c>
      <c r="F18" s="8">
        <v>5.0</v>
      </c>
      <c r="G18" s="8">
        <v>90.0</v>
      </c>
      <c r="H18" s="8">
        <v>450.0</v>
      </c>
      <c r="I18" s="8" t="str">
        <f t="array" ref="I18">XLOOKUP(D18, LookupTable!A:A, LookupTable!B:B, "")
</f>
        <v>Furniture</v>
      </c>
      <c r="J18" s="12">
        <f>SUMIF(E2:E26, "Electronics", H2:H26)</f>
        <v>16120</v>
      </c>
      <c r="K18" s="10">
        <f t="shared" si="1"/>
        <v>0.01936316695</v>
      </c>
      <c r="L18" s="8" t="str">
        <f t="shared" si="2"/>
        <v>Low</v>
      </c>
      <c r="M18" s="8"/>
      <c r="N18" s="8"/>
      <c r="O18" s="8"/>
      <c r="P18" s="8"/>
      <c r="Q18" s="8"/>
    </row>
    <row r="19">
      <c r="A19" s="8" t="s">
        <v>44</v>
      </c>
      <c r="B19" s="8" t="s">
        <v>14</v>
      </c>
      <c r="C19" s="8" t="s">
        <v>20</v>
      </c>
      <c r="D19" s="8" t="s">
        <v>27</v>
      </c>
      <c r="E19" s="8" t="str">
        <f>VLOOKUP(D19, LookupTable!A:B, 2, FALSE)
</f>
        <v>Office</v>
      </c>
      <c r="F19" s="8">
        <v>2.0</v>
      </c>
      <c r="G19" s="8">
        <v>220.0</v>
      </c>
      <c r="H19" s="8">
        <v>440.0</v>
      </c>
      <c r="I19" s="8" t="str">
        <f t="array" ref="I19">XLOOKUP(D19, LookupTable!A:A, LookupTable!B:B, "")
</f>
        <v>Office</v>
      </c>
      <c r="J19" s="13"/>
      <c r="K19" s="10">
        <f t="shared" si="1"/>
        <v>0.01893287435</v>
      </c>
      <c r="L19" s="8" t="str">
        <f t="shared" si="2"/>
        <v>Low</v>
      </c>
      <c r="M19" s="8"/>
      <c r="N19" s="8"/>
      <c r="O19" s="8"/>
      <c r="P19" s="8"/>
      <c r="Q19" s="8"/>
    </row>
    <row r="20">
      <c r="A20" s="8" t="s">
        <v>46</v>
      </c>
      <c r="B20" s="8" t="s">
        <v>23</v>
      </c>
      <c r="C20" s="8" t="s">
        <v>15</v>
      </c>
      <c r="D20" s="8" t="s">
        <v>21</v>
      </c>
      <c r="E20" s="8" t="str">
        <f>VLOOKUP(D20, LookupTable!A:B, 2, FALSE)
</f>
        <v>Accessories</v>
      </c>
      <c r="F20" s="8">
        <v>14.0</v>
      </c>
      <c r="G20" s="8">
        <v>30.0</v>
      </c>
      <c r="H20" s="8">
        <v>420.0</v>
      </c>
      <c r="I20" s="8" t="str">
        <f t="array" ref="I20">XLOOKUP(D20, LookupTable!A:A, LookupTable!B:B, "")
</f>
        <v>Accessories</v>
      </c>
      <c r="J20" s="9" t="s">
        <v>61</v>
      </c>
      <c r="K20" s="10">
        <f t="shared" si="1"/>
        <v>0.01807228916</v>
      </c>
      <c r="L20" s="8" t="str">
        <f t="shared" si="2"/>
        <v>Low</v>
      </c>
      <c r="M20" s="8"/>
      <c r="N20" s="8"/>
      <c r="O20" s="8"/>
      <c r="P20" s="8"/>
      <c r="Q20" s="8"/>
    </row>
    <row r="21" ht="15.75" customHeight="1">
      <c r="A21" s="8" t="s">
        <v>13</v>
      </c>
      <c r="B21" s="8" t="s">
        <v>14</v>
      </c>
      <c r="C21" s="8" t="s">
        <v>15</v>
      </c>
      <c r="D21" s="8" t="s">
        <v>16</v>
      </c>
      <c r="E21" s="8" t="str">
        <f>VLOOKUP(D21, LookupTable!A:B, 2, FALSE)
</f>
        <v>Accessories</v>
      </c>
      <c r="F21" s="8">
        <v>20.0</v>
      </c>
      <c r="G21" s="8">
        <v>20.0</v>
      </c>
      <c r="H21" s="8">
        <v>400.0</v>
      </c>
      <c r="I21" s="8" t="str">
        <f t="array" ref="I21">XLOOKUP(D21, LookupTable!A:A, LookupTable!B:B, "")
</f>
        <v>Accessories</v>
      </c>
      <c r="J21" s="17">
        <f>AVERAGEIF(B2:B26, "Asha", F2:F26)</f>
        <v>8.333333333</v>
      </c>
      <c r="K21" s="10">
        <f t="shared" si="1"/>
        <v>0.01721170396</v>
      </c>
      <c r="L21" s="8" t="str">
        <f t="shared" si="2"/>
        <v>Low</v>
      </c>
      <c r="M21" s="8"/>
      <c r="N21" s="8"/>
      <c r="O21" s="8"/>
      <c r="P21" s="8"/>
      <c r="Q21" s="8"/>
    </row>
    <row r="22" ht="15.75" customHeight="1">
      <c r="A22" s="8" t="s">
        <v>33</v>
      </c>
      <c r="B22" s="8" t="s">
        <v>23</v>
      </c>
      <c r="C22" s="8" t="s">
        <v>24</v>
      </c>
      <c r="D22" s="8" t="s">
        <v>34</v>
      </c>
      <c r="E22" s="8" t="str">
        <f>VLOOKUP(D22, LookupTable!A:B, 2, FALSE)
</f>
        <v>Furniture</v>
      </c>
      <c r="F22" s="8">
        <v>2.0</v>
      </c>
      <c r="G22" s="8">
        <v>200.0</v>
      </c>
      <c r="H22" s="8">
        <v>400.0</v>
      </c>
      <c r="I22" s="8" t="str">
        <f t="array" ref="I22">XLOOKUP(D22, LookupTable!A:A, LookupTable!B:B, "")
</f>
        <v>Furniture</v>
      </c>
      <c r="J22" s="13"/>
      <c r="K22" s="10">
        <f t="shared" si="1"/>
        <v>0.01721170396</v>
      </c>
      <c r="L22" s="8" t="str">
        <f t="shared" si="2"/>
        <v>Low</v>
      </c>
      <c r="M22" s="8"/>
      <c r="N22" s="8"/>
      <c r="O22" s="8"/>
      <c r="P22" s="8"/>
      <c r="Q22" s="8"/>
    </row>
    <row r="23" ht="15.75" customHeight="1">
      <c r="A23" s="8" t="s">
        <v>47</v>
      </c>
      <c r="B23" s="8" t="s">
        <v>9</v>
      </c>
      <c r="C23" s="8" t="s">
        <v>10</v>
      </c>
      <c r="D23" s="8" t="s">
        <v>34</v>
      </c>
      <c r="E23" s="8" t="str">
        <f>VLOOKUP(D23, LookupTable!A:B, 2, FALSE)
</f>
        <v>Furniture</v>
      </c>
      <c r="F23" s="8">
        <v>2.0</v>
      </c>
      <c r="G23" s="8">
        <v>200.0</v>
      </c>
      <c r="H23" s="8">
        <v>400.0</v>
      </c>
      <c r="I23" s="8" t="str">
        <f t="array" ref="I23">XLOOKUP(D23, LookupTable!A:A, LookupTable!B:B, "")
</f>
        <v>Furniture</v>
      </c>
      <c r="J23" s="9" t="s">
        <v>62</v>
      </c>
      <c r="K23" s="10">
        <f t="shared" si="1"/>
        <v>0.01721170396</v>
      </c>
      <c r="L23" s="8" t="str">
        <f t="shared" si="2"/>
        <v>Low</v>
      </c>
      <c r="M23" s="8"/>
      <c r="N23" s="8"/>
      <c r="O23" s="8"/>
      <c r="P23" s="8"/>
      <c r="Q23" s="8"/>
    </row>
    <row r="24" ht="15.75" customHeight="1">
      <c r="A24" s="8" t="s">
        <v>45</v>
      </c>
      <c r="B24" s="8" t="s">
        <v>19</v>
      </c>
      <c r="C24" s="8" t="s">
        <v>24</v>
      </c>
      <c r="D24" s="8" t="s">
        <v>16</v>
      </c>
      <c r="E24" s="8" t="str">
        <f>VLOOKUP(D24, LookupTable!A:B, 2, FALSE)
</f>
        <v>Accessories</v>
      </c>
      <c r="F24" s="8">
        <v>18.0</v>
      </c>
      <c r="G24" s="8">
        <v>20.0</v>
      </c>
      <c r="H24" s="8">
        <v>360.0</v>
      </c>
      <c r="I24" s="8" t="str">
        <f t="array" ref="I24">XLOOKUP(D24, LookupTable!A:A, LookupTable!B:B, "")
</f>
        <v>Accessories</v>
      </c>
      <c r="J24" s="12">
        <f>MAX(H2:H26)</f>
        <v>3000</v>
      </c>
      <c r="K24" s="10">
        <f t="shared" si="1"/>
        <v>0.01549053356</v>
      </c>
      <c r="L24" s="8" t="str">
        <f t="shared" si="2"/>
        <v>Low</v>
      </c>
      <c r="M24" s="8"/>
      <c r="N24" s="8"/>
      <c r="O24" s="8"/>
      <c r="P24" s="8"/>
      <c r="Q24" s="8"/>
    </row>
    <row r="25" ht="15.75" customHeight="1">
      <c r="A25" s="8" t="s">
        <v>39</v>
      </c>
      <c r="B25" s="8" t="s">
        <v>9</v>
      </c>
      <c r="C25" s="8" t="s">
        <v>10</v>
      </c>
      <c r="D25" s="8" t="s">
        <v>21</v>
      </c>
      <c r="E25" s="8" t="str">
        <f>VLOOKUP(D25, LookupTable!A:B, 2, FALSE)
</f>
        <v>Accessories</v>
      </c>
      <c r="F25" s="8">
        <v>10.0</v>
      </c>
      <c r="G25" s="8">
        <v>30.0</v>
      </c>
      <c r="H25" s="8">
        <v>300.0</v>
      </c>
      <c r="I25" s="8" t="str">
        <f t="array" ref="I25">XLOOKUP(D25, LookupTable!A:A, LookupTable!B:B, "")
</f>
        <v>Accessories</v>
      </c>
      <c r="J25" s="13"/>
      <c r="K25" s="10">
        <f t="shared" si="1"/>
        <v>0.01290877797</v>
      </c>
      <c r="L25" s="8" t="str">
        <f t="shared" si="2"/>
        <v>Low</v>
      </c>
      <c r="M25" s="8"/>
      <c r="N25" s="8"/>
      <c r="O25" s="8"/>
      <c r="P25" s="8"/>
      <c r="Q25" s="8"/>
    </row>
    <row r="26" ht="15.75" customHeight="1">
      <c r="A26" s="8" t="s">
        <v>40</v>
      </c>
      <c r="B26" s="8" t="s">
        <v>14</v>
      </c>
      <c r="C26" s="8" t="s">
        <v>24</v>
      </c>
      <c r="D26" s="8" t="s">
        <v>34</v>
      </c>
      <c r="E26" s="8" t="str">
        <f>VLOOKUP(D26, LookupTable!A:B, 2, FALSE)
</f>
        <v>Furniture</v>
      </c>
      <c r="F26" s="8">
        <v>1.0</v>
      </c>
      <c r="G26" s="8">
        <v>200.0</v>
      </c>
      <c r="H26" s="8">
        <v>200.0</v>
      </c>
      <c r="I26" s="8" t="str">
        <f t="array" ref="I26">XLOOKUP(D26, LookupTable!A:A, LookupTable!B:B, "")
</f>
        <v>Furniture</v>
      </c>
      <c r="J26" s="9" t="s">
        <v>63</v>
      </c>
      <c r="K26" s="10">
        <f t="shared" si="1"/>
        <v>0.008605851979</v>
      </c>
      <c r="L26" s="8" t="str">
        <f t="shared" si="2"/>
        <v>Low</v>
      </c>
      <c r="M26" s="8"/>
      <c r="N26" s="8"/>
      <c r="O26" s="8"/>
      <c r="P26" s="8"/>
      <c r="Q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12">
        <f>MIN(H2:H26)</f>
        <v>200</v>
      </c>
      <c r="K27" s="10"/>
      <c r="L27" s="8" t="str">
        <f t="shared" si="2"/>
        <v>Low</v>
      </c>
      <c r="M27" s="8"/>
      <c r="N27" s="8"/>
      <c r="O27" s="8"/>
      <c r="P27" s="8"/>
      <c r="Q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13"/>
      <c r="K28" s="10"/>
      <c r="L28" s="8"/>
      <c r="M28" s="8"/>
      <c r="N28" s="8"/>
      <c r="O28" s="8"/>
      <c r="P28" s="8"/>
      <c r="Q28" s="8"/>
    </row>
    <row r="29" ht="15.75" customHeight="1">
      <c r="A29" s="9" t="s">
        <v>64</v>
      </c>
      <c r="E29" s="8"/>
      <c r="F29" s="8"/>
      <c r="G29" s="8"/>
      <c r="H29" s="8"/>
      <c r="I29" s="8"/>
      <c r="J29" s="13"/>
      <c r="K29" s="10"/>
      <c r="L29" s="8"/>
      <c r="M29" s="8"/>
      <c r="N29" s="8"/>
      <c r="O29" s="8"/>
      <c r="P29" s="8"/>
      <c r="Q29" s="8"/>
    </row>
    <row r="30" ht="15.75" customHeight="1">
      <c r="A30" s="18"/>
      <c r="B30" s="18" t="str">
        <f>IFERROR(__xludf.DUMMYFUNCTION("QUERY(A1:H26, ""SELECT C, SUM(H) GROUP BY C"")"),"Region")</f>
        <v>Region</v>
      </c>
      <c r="C30" s="18" t="str">
        <f>IFERROR(__xludf.DUMMYFUNCTION("""COMPUTED_VALUE"""),"sum Revenue")</f>
        <v>sum Revenue</v>
      </c>
      <c r="D30" s="18"/>
      <c r="E30" s="8"/>
      <c r="F30" s="8"/>
      <c r="G30" s="8"/>
      <c r="H30" s="8"/>
      <c r="I30" s="8"/>
      <c r="J30" s="13"/>
      <c r="K30" s="10"/>
      <c r="L30" s="8"/>
      <c r="M30" s="8"/>
      <c r="N30" s="8"/>
      <c r="O30" s="8"/>
      <c r="P30" s="8"/>
      <c r="Q30" s="8"/>
    </row>
    <row r="31" ht="15.75" customHeight="1">
      <c r="A31" s="18"/>
      <c r="B31" s="18" t="str">
        <f>IFERROR(__xludf.DUMMYFUNCTION("""COMPUTED_VALUE"""),"East")</f>
        <v>East</v>
      </c>
      <c r="C31" s="18">
        <f>IFERROR(__xludf.DUMMYFUNCTION("""COMPUTED_VALUE"""),6960.0)</f>
        <v>6960</v>
      </c>
      <c r="D31" s="18"/>
      <c r="E31" s="8"/>
      <c r="F31" s="8"/>
      <c r="G31" s="8"/>
      <c r="H31" s="8"/>
      <c r="I31" s="8"/>
      <c r="J31" s="13"/>
      <c r="K31" s="10"/>
      <c r="L31" s="8"/>
      <c r="M31" s="8"/>
      <c r="N31" s="8"/>
      <c r="O31" s="8"/>
      <c r="P31" s="8"/>
      <c r="Q31" s="8"/>
    </row>
    <row r="32" ht="15.75" customHeight="1">
      <c r="A32" s="18"/>
      <c r="B32" s="18" t="str">
        <f>IFERROR(__xludf.DUMMYFUNCTION("""COMPUTED_VALUE"""),"North")</f>
        <v>North</v>
      </c>
      <c r="C32" s="18">
        <f>IFERROR(__xludf.DUMMYFUNCTION("""COMPUTED_VALUE"""),7580.0)</f>
        <v>7580</v>
      </c>
      <c r="D32" s="18"/>
      <c r="E32" s="8"/>
      <c r="F32" s="8"/>
      <c r="G32" s="8"/>
      <c r="H32" s="8"/>
      <c r="I32" s="8"/>
      <c r="J32" s="13"/>
      <c r="K32" s="10"/>
      <c r="L32" s="8"/>
      <c r="M32" s="8"/>
      <c r="N32" s="8"/>
      <c r="O32" s="8"/>
      <c r="P32" s="8"/>
      <c r="Q32" s="8"/>
    </row>
    <row r="33" ht="15.75" customHeight="1">
      <c r="A33" s="18"/>
      <c r="B33" s="18" t="str">
        <f>IFERROR(__xludf.DUMMYFUNCTION("""COMPUTED_VALUE"""),"South")</f>
        <v>South</v>
      </c>
      <c r="C33" s="18">
        <f>IFERROR(__xludf.DUMMYFUNCTION("""COMPUTED_VALUE"""),5140.0)</f>
        <v>5140</v>
      </c>
      <c r="D33" s="18"/>
      <c r="E33" s="8"/>
      <c r="F33" s="8"/>
      <c r="G33" s="8"/>
      <c r="H33" s="8"/>
      <c r="I33" s="8"/>
      <c r="J33" s="13"/>
      <c r="K33" s="10"/>
      <c r="L33" s="8"/>
      <c r="M33" s="8"/>
      <c r="N33" s="8"/>
      <c r="O33" s="8"/>
      <c r="P33" s="8"/>
      <c r="Q33" s="8"/>
    </row>
    <row r="34" ht="15.75" customHeight="1">
      <c r="A34" s="18"/>
      <c r="B34" s="18" t="str">
        <f>IFERROR(__xludf.DUMMYFUNCTION("""COMPUTED_VALUE"""),"West")</f>
        <v>West</v>
      </c>
      <c r="C34" s="18">
        <f>IFERROR(__xludf.DUMMYFUNCTION("""COMPUTED_VALUE"""),3560.0)</f>
        <v>3560</v>
      </c>
      <c r="D34" s="18"/>
      <c r="E34" s="8"/>
      <c r="F34" s="8"/>
      <c r="G34" s="8"/>
      <c r="H34" s="8"/>
      <c r="I34" s="8"/>
      <c r="J34" s="13"/>
      <c r="K34" s="10"/>
      <c r="L34" s="8"/>
      <c r="M34" s="8"/>
      <c r="N34" s="8"/>
      <c r="O34" s="8"/>
      <c r="P34" s="8"/>
      <c r="Q34" s="8"/>
    </row>
    <row r="35" ht="15.75" customHeight="1">
      <c r="A35" s="18"/>
      <c r="B35" s="18"/>
      <c r="C35" s="18"/>
      <c r="D35" s="18"/>
      <c r="E35" s="8"/>
      <c r="F35" s="8"/>
      <c r="G35" s="8"/>
      <c r="H35" s="8"/>
      <c r="I35" s="8"/>
      <c r="J35" s="13"/>
      <c r="K35" s="10"/>
      <c r="L35" s="8"/>
      <c r="M35" s="8"/>
      <c r="N35" s="8"/>
      <c r="O35" s="8"/>
      <c r="P35" s="8"/>
      <c r="Q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13"/>
      <c r="K36" s="10"/>
      <c r="L36" s="8"/>
      <c r="M36" s="8"/>
      <c r="N36" s="8"/>
      <c r="O36" s="8"/>
      <c r="P36" s="8"/>
      <c r="Q36" s="8"/>
    </row>
    <row r="37" ht="15.75" customHeight="1">
      <c r="A37" s="19" t="s">
        <v>65</v>
      </c>
      <c r="I37" s="8"/>
      <c r="J37" s="13"/>
      <c r="K37" s="10"/>
      <c r="L37" s="8"/>
      <c r="M37" s="8"/>
      <c r="N37" s="8"/>
      <c r="O37" s="8"/>
      <c r="P37" s="8"/>
      <c r="Q37" s="8"/>
    </row>
    <row r="38" ht="15.75" customHeight="1">
      <c r="A38" s="18" t="str">
        <f t="array" ref="A38:H63">SORT(A1:H26, 6, FALSE)</f>
        <v>OrderID</v>
      </c>
      <c r="B38" s="18" t="s">
        <v>1</v>
      </c>
      <c r="C38" s="18" t="s">
        <v>2</v>
      </c>
      <c r="D38" s="18" t="s">
        <v>3</v>
      </c>
      <c r="E38" s="18" t="s">
        <v>51</v>
      </c>
      <c r="F38" s="18" t="s">
        <v>5</v>
      </c>
      <c r="G38" s="18" t="s">
        <v>6</v>
      </c>
      <c r="H38" s="18" t="s">
        <v>7</v>
      </c>
      <c r="I38" s="8"/>
      <c r="J38" s="13"/>
      <c r="K38" s="10"/>
      <c r="L38" s="8"/>
      <c r="M38" s="8"/>
      <c r="N38" s="8"/>
      <c r="O38" s="8"/>
      <c r="P38" s="8"/>
      <c r="Q38" s="8"/>
    </row>
    <row r="39" ht="15.75" customHeight="1">
      <c r="A39" s="18" t="s">
        <v>35</v>
      </c>
      <c r="B39" s="18" t="s">
        <v>9</v>
      </c>
      <c r="C39" s="18" t="s">
        <v>20</v>
      </c>
      <c r="D39" s="18" t="s">
        <v>16</v>
      </c>
      <c r="E39" s="18" t="s">
        <v>17</v>
      </c>
      <c r="F39" s="18">
        <v>25.0</v>
      </c>
      <c r="G39" s="18">
        <v>20.0</v>
      </c>
      <c r="H39" s="18">
        <v>500.0</v>
      </c>
      <c r="I39" s="8"/>
      <c r="J39" s="13"/>
      <c r="K39" s="10"/>
      <c r="L39" s="8"/>
      <c r="M39" s="8"/>
      <c r="N39" s="8"/>
      <c r="O39" s="8"/>
      <c r="P39" s="8"/>
      <c r="Q39" s="8"/>
    </row>
    <row r="40" ht="15.75" customHeight="1">
      <c r="A40" s="18" t="s">
        <v>13</v>
      </c>
      <c r="B40" s="18" t="s">
        <v>14</v>
      </c>
      <c r="C40" s="18" t="s">
        <v>15</v>
      </c>
      <c r="D40" s="18" t="s">
        <v>16</v>
      </c>
      <c r="E40" s="18" t="s">
        <v>17</v>
      </c>
      <c r="F40" s="18">
        <v>20.0</v>
      </c>
      <c r="G40" s="18">
        <v>20.0</v>
      </c>
      <c r="H40" s="18">
        <v>400.0</v>
      </c>
      <c r="I40" s="8"/>
      <c r="J40" s="13"/>
      <c r="K40" s="10"/>
      <c r="L40" s="8"/>
      <c r="M40" s="8"/>
      <c r="N40" s="8"/>
      <c r="O40" s="8"/>
      <c r="P40" s="8"/>
      <c r="Q40" s="8"/>
    </row>
    <row r="41" ht="15.75" customHeight="1">
      <c r="A41" s="18" t="s">
        <v>45</v>
      </c>
      <c r="B41" s="18" t="s">
        <v>19</v>
      </c>
      <c r="C41" s="18" t="s">
        <v>24</v>
      </c>
      <c r="D41" s="18" t="s">
        <v>16</v>
      </c>
      <c r="E41" s="18" t="s">
        <v>17</v>
      </c>
      <c r="F41" s="18">
        <v>18.0</v>
      </c>
      <c r="G41" s="18">
        <v>20.0</v>
      </c>
      <c r="H41" s="18">
        <v>360.0</v>
      </c>
      <c r="I41" s="8"/>
      <c r="J41" s="13"/>
      <c r="K41" s="10"/>
      <c r="L41" s="8"/>
      <c r="M41" s="8"/>
      <c r="N41" s="8"/>
      <c r="O41" s="8"/>
      <c r="P41" s="8"/>
      <c r="Q41" s="8"/>
    </row>
    <row r="42" ht="15.75" customHeight="1">
      <c r="A42" s="18" t="s">
        <v>18</v>
      </c>
      <c r="B42" s="18" t="s">
        <v>19</v>
      </c>
      <c r="C42" s="18" t="s">
        <v>20</v>
      </c>
      <c r="D42" s="18" t="s">
        <v>21</v>
      </c>
      <c r="E42" s="18" t="s">
        <v>17</v>
      </c>
      <c r="F42" s="18">
        <v>15.0</v>
      </c>
      <c r="G42" s="18">
        <v>30.0</v>
      </c>
      <c r="H42" s="18">
        <v>450.0</v>
      </c>
      <c r="I42" s="8"/>
      <c r="J42" s="13"/>
      <c r="K42" s="10"/>
      <c r="L42" s="8"/>
      <c r="M42" s="8"/>
      <c r="N42" s="8"/>
      <c r="O42" s="8"/>
      <c r="P42" s="8"/>
      <c r="Q42" s="8"/>
    </row>
    <row r="43" ht="15.75" customHeight="1">
      <c r="A43" s="18" t="s">
        <v>46</v>
      </c>
      <c r="B43" s="18" t="s">
        <v>23</v>
      </c>
      <c r="C43" s="18" t="s">
        <v>15</v>
      </c>
      <c r="D43" s="18" t="s">
        <v>21</v>
      </c>
      <c r="E43" s="18" t="s">
        <v>17</v>
      </c>
      <c r="F43" s="18">
        <v>14.0</v>
      </c>
      <c r="G43" s="18">
        <v>30.0</v>
      </c>
      <c r="H43" s="18">
        <v>420.0</v>
      </c>
      <c r="I43" s="8"/>
      <c r="J43" s="13"/>
      <c r="K43" s="10"/>
      <c r="L43" s="8"/>
      <c r="M43" s="8"/>
      <c r="N43" s="8"/>
      <c r="O43" s="8"/>
      <c r="P43" s="8"/>
      <c r="Q43" s="8"/>
    </row>
    <row r="44" ht="15.75" customHeight="1">
      <c r="A44" s="18" t="s">
        <v>39</v>
      </c>
      <c r="B44" s="18" t="s">
        <v>9</v>
      </c>
      <c r="C44" s="18" t="s">
        <v>10</v>
      </c>
      <c r="D44" s="18" t="s">
        <v>21</v>
      </c>
      <c r="E44" s="18" t="s">
        <v>17</v>
      </c>
      <c r="F44" s="18">
        <v>10.0</v>
      </c>
      <c r="G44" s="18">
        <v>30.0</v>
      </c>
      <c r="H44" s="18">
        <v>300.0</v>
      </c>
      <c r="I44" s="8"/>
      <c r="J44" s="13"/>
      <c r="K44" s="10"/>
      <c r="L44" s="8"/>
      <c r="M44" s="8"/>
      <c r="N44" s="8"/>
      <c r="O44" s="8"/>
      <c r="P44" s="8"/>
      <c r="Q44" s="8"/>
    </row>
    <row r="45" ht="15.75" customHeight="1">
      <c r="A45" s="18" t="s">
        <v>50</v>
      </c>
      <c r="B45" s="18" t="s">
        <v>23</v>
      </c>
      <c r="C45" s="18" t="s">
        <v>24</v>
      </c>
      <c r="D45" s="18" t="s">
        <v>25</v>
      </c>
      <c r="E45" s="18" t="s">
        <v>12</v>
      </c>
      <c r="F45" s="18">
        <v>9.0</v>
      </c>
      <c r="G45" s="18">
        <v>180.0</v>
      </c>
      <c r="H45" s="18">
        <v>1620.0</v>
      </c>
      <c r="I45" s="8"/>
      <c r="J45" s="13"/>
      <c r="K45" s="10"/>
      <c r="L45" s="8"/>
      <c r="M45" s="8"/>
      <c r="N45" s="8"/>
      <c r="O45" s="8"/>
      <c r="P45" s="8"/>
      <c r="Q45" s="8"/>
    </row>
    <row r="46" ht="15.75" customHeight="1">
      <c r="A46" s="18" t="s">
        <v>50</v>
      </c>
      <c r="B46" s="18" t="s">
        <v>23</v>
      </c>
      <c r="C46" s="18" t="s">
        <v>24</v>
      </c>
      <c r="D46" s="18" t="s">
        <v>25</v>
      </c>
      <c r="E46" s="18" t="s">
        <v>12</v>
      </c>
      <c r="F46" s="18">
        <v>9.0</v>
      </c>
      <c r="G46" s="18">
        <v>180.0</v>
      </c>
      <c r="H46" s="18">
        <v>1620.0</v>
      </c>
      <c r="I46" s="8"/>
      <c r="J46" s="13"/>
      <c r="K46" s="10"/>
      <c r="L46" s="8"/>
      <c r="M46" s="8"/>
      <c r="N46" s="8"/>
      <c r="O46" s="8"/>
      <c r="P46" s="8"/>
      <c r="Q46" s="8"/>
    </row>
    <row r="47" ht="15.75" customHeight="1">
      <c r="A47" s="18" t="s">
        <v>41</v>
      </c>
      <c r="B47" s="18" t="s">
        <v>19</v>
      </c>
      <c r="C47" s="18" t="s">
        <v>20</v>
      </c>
      <c r="D47" s="18" t="s">
        <v>31</v>
      </c>
      <c r="E47" s="18" t="s">
        <v>32</v>
      </c>
      <c r="F47" s="18">
        <v>8.0</v>
      </c>
      <c r="G47" s="18">
        <v>90.0</v>
      </c>
      <c r="H47" s="18">
        <v>720.0</v>
      </c>
      <c r="I47" s="8"/>
      <c r="J47" s="13"/>
      <c r="K47" s="10"/>
      <c r="L47" s="8"/>
      <c r="M47" s="8"/>
      <c r="N47" s="8"/>
      <c r="O47" s="8"/>
      <c r="P47" s="8"/>
      <c r="Q47" s="8"/>
    </row>
    <row r="48" ht="15.75" customHeight="1">
      <c r="A48" s="18" t="s">
        <v>22</v>
      </c>
      <c r="B48" s="18" t="s">
        <v>23</v>
      </c>
      <c r="C48" s="18" t="s">
        <v>24</v>
      </c>
      <c r="D48" s="18" t="s">
        <v>25</v>
      </c>
      <c r="E48" s="18" t="s">
        <v>12</v>
      </c>
      <c r="F48" s="18">
        <v>7.0</v>
      </c>
      <c r="G48" s="18">
        <v>180.0</v>
      </c>
      <c r="H48" s="18">
        <v>1260.0</v>
      </c>
      <c r="I48" s="8"/>
      <c r="J48" s="13"/>
      <c r="K48" s="10"/>
      <c r="L48" s="8"/>
      <c r="M48" s="8"/>
      <c r="N48" s="8"/>
      <c r="O48" s="8"/>
      <c r="P48" s="8"/>
      <c r="Q48" s="8"/>
    </row>
    <row r="49" ht="15.75" customHeight="1">
      <c r="A49" s="18" t="s">
        <v>42</v>
      </c>
      <c r="B49" s="18" t="s">
        <v>23</v>
      </c>
      <c r="C49" s="18" t="s">
        <v>10</v>
      </c>
      <c r="D49" s="18" t="s">
        <v>11</v>
      </c>
      <c r="E49" s="18" t="s">
        <v>12</v>
      </c>
      <c r="F49" s="18">
        <v>6.0</v>
      </c>
      <c r="G49" s="18">
        <v>500.0</v>
      </c>
      <c r="H49" s="18">
        <v>3000.0</v>
      </c>
      <c r="I49" s="8"/>
      <c r="J49" s="13"/>
      <c r="K49" s="10"/>
      <c r="L49" s="8"/>
      <c r="M49" s="8"/>
      <c r="N49" s="8"/>
      <c r="O49" s="8"/>
      <c r="P49" s="8"/>
      <c r="Q49" s="8"/>
    </row>
    <row r="50" ht="15.75" customHeight="1">
      <c r="A50" s="18" t="s">
        <v>30</v>
      </c>
      <c r="B50" s="18" t="s">
        <v>19</v>
      </c>
      <c r="C50" s="18" t="s">
        <v>15</v>
      </c>
      <c r="D50" s="18" t="s">
        <v>31</v>
      </c>
      <c r="E50" s="18" t="s">
        <v>32</v>
      </c>
      <c r="F50" s="18">
        <v>6.0</v>
      </c>
      <c r="G50" s="18">
        <v>90.0</v>
      </c>
      <c r="H50" s="18">
        <v>540.0</v>
      </c>
      <c r="I50" s="8"/>
      <c r="J50" s="13"/>
      <c r="K50" s="10"/>
      <c r="L50" s="8"/>
      <c r="M50" s="8"/>
      <c r="N50" s="8"/>
      <c r="O50" s="8"/>
      <c r="P50" s="8"/>
      <c r="Q50" s="8"/>
    </row>
    <row r="51" ht="15.75" customHeight="1">
      <c r="A51" s="18" t="s">
        <v>8</v>
      </c>
      <c r="B51" s="18" t="s">
        <v>9</v>
      </c>
      <c r="C51" s="18" t="s">
        <v>10</v>
      </c>
      <c r="D51" s="18" t="s">
        <v>11</v>
      </c>
      <c r="E51" s="18" t="s">
        <v>12</v>
      </c>
      <c r="F51" s="18">
        <v>5.0</v>
      </c>
      <c r="G51" s="18">
        <v>500.0</v>
      </c>
      <c r="H51" s="18">
        <v>2500.0</v>
      </c>
      <c r="I51" s="8"/>
      <c r="J51" s="13"/>
      <c r="K51" s="10"/>
      <c r="L51" s="8"/>
      <c r="M51" s="8"/>
      <c r="N51" s="8"/>
      <c r="O51" s="8"/>
      <c r="P51" s="8"/>
      <c r="Q51" s="8"/>
    </row>
    <row r="52" ht="15.75" customHeight="1">
      <c r="A52" s="18" t="s">
        <v>43</v>
      </c>
      <c r="B52" s="18" t="s">
        <v>9</v>
      </c>
      <c r="C52" s="18" t="s">
        <v>15</v>
      </c>
      <c r="D52" s="18" t="s">
        <v>25</v>
      </c>
      <c r="E52" s="18" t="s">
        <v>12</v>
      </c>
      <c r="F52" s="18">
        <v>5.0</v>
      </c>
      <c r="G52" s="18">
        <v>180.0</v>
      </c>
      <c r="H52" s="18">
        <v>900.0</v>
      </c>
      <c r="I52" s="8"/>
      <c r="J52" s="13"/>
      <c r="K52" s="10"/>
      <c r="L52" s="8"/>
      <c r="M52" s="8"/>
      <c r="N52" s="8"/>
      <c r="O52" s="8"/>
      <c r="P52" s="8"/>
      <c r="Q52" s="8"/>
    </row>
    <row r="53" ht="15.75" customHeight="1">
      <c r="A53" s="18" t="s">
        <v>48</v>
      </c>
      <c r="B53" s="18" t="s">
        <v>14</v>
      </c>
      <c r="C53" s="18" t="s">
        <v>20</v>
      </c>
      <c r="D53" s="18" t="s">
        <v>31</v>
      </c>
      <c r="E53" s="18" t="s">
        <v>32</v>
      </c>
      <c r="F53" s="18">
        <v>5.0</v>
      </c>
      <c r="G53" s="18">
        <v>90.0</v>
      </c>
      <c r="H53" s="18">
        <v>450.0</v>
      </c>
      <c r="I53" s="8"/>
      <c r="J53" s="13"/>
      <c r="K53" s="10"/>
      <c r="L53" s="8"/>
      <c r="M53" s="8"/>
      <c r="N53" s="8"/>
      <c r="O53" s="8"/>
      <c r="P53" s="8"/>
      <c r="Q53" s="8"/>
    </row>
    <row r="54" ht="15.75" customHeight="1">
      <c r="A54" s="18" t="s">
        <v>49</v>
      </c>
      <c r="B54" s="18" t="s">
        <v>19</v>
      </c>
      <c r="C54" s="18" t="s">
        <v>15</v>
      </c>
      <c r="D54" s="18" t="s">
        <v>11</v>
      </c>
      <c r="E54" s="18" t="s">
        <v>12</v>
      </c>
      <c r="F54" s="18">
        <v>4.0</v>
      </c>
      <c r="G54" s="18">
        <v>500.0</v>
      </c>
      <c r="H54" s="18">
        <v>2000.0</v>
      </c>
      <c r="I54" s="8"/>
      <c r="J54" s="13"/>
      <c r="K54" s="10"/>
      <c r="L54" s="8"/>
      <c r="M54" s="8"/>
      <c r="N54" s="8"/>
      <c r="O54" s="8"/>
      <c r="P54" s="8"/>
      <c r="Q54" s="8"/>
    </row>
    <row r="55" ht="15.75" customHeight="1">
      <c r="A55" s="18" t="s">
        <v>38</v>
      </c>
      <c r="B55" s="18" t="s">
        <v>23</v>
      </c>
      <c r="C55" s="18" t="s">
        <v>15</v>
      </c>
      <c r="D55" s="18" t="s">
        <v>27</v>
      </c>
      <c r="E55" s="18" t="s">
        <v>28</v>
      </c>
      <c r="F55" s="18">
        <v>4.0</v>
      </c>
      <c r="G55" s="18">
        <v>220.0</v>
      </c>
      <c r="H55" s="18">
        <v>880.0</v>
      </c>
      <c r="I55" s="8"/>
      <c r="J55" s="13"/>
      <c r="K55" s="10"/>
      <c r="L55" s="8"/>
      <c r="M55" s="8"/>
      <c r="N55" s="8"/>
      <c r="O55" s="8"/>
      <c r="P55" s="8"/>
      <c r="Q55" s="8"/>
    </row>
    <row r="56" ht="15.75" customHeight="1">
      <c r="A56" s="18" t="s">
        <v>36</v>
      </c>
      <c r="B56" s="18" t="s">
        <v>14</v>
      </c>
      <c r="C56" s="18" t="s">
        <v>10</v>
      </c>
      <c r="D56" s="18" t="s">
        <v>25</v>
      </c>
      <c r="E56" s="18" t="s">
        <v>12</v>
      </c>
      <c r="F56" s="18">
        <v>4.0</v>
      </c>
      <c r="G56" s="18">
        <v>180.0</v>
      </c>
      <c r="H56" s="18">
        <v>720.0</v>
      </c>
      <c r="I56" s="8"/>
      <c r="J56" s="13"/>
      <c r="K56" s="10"/>
      <c r="L56" s="8"/>
      <c r="M56" s="8"/>
      <c r="N56" s="8"/>
      <c r="O56" s="8"/>
      <c r="P56" s="8"/>
      <c r="Q56" s="8"/>
    </row>
    <row r="57" ht="15.75" customHeight="1">
      <c r="A57" s="18" t="s">
        <v>37</v>
      </c>
      <c r="B57" s="18" t="s">
        <v>19</v>
      </c>
      <c r="C57" s="18" t="s">
        <v>24</v>
      </c>
      <c r="D57" s="18" t="s">
        <v>11</v>
      </c>
      <c r="E57" s="18" t="s">
        <v>12</v>
      </c>
      <c r="F57" s="18">
        <v>3.0</v>
      </c>
      <c r="G57" s="18">
        <v>500.0</v>
      </c>
      <c r="H57" s="18">
        <v>1500.0</v>
      </c>
      <c r="I57" s="8"/>
      <c r="J57" s="13"/>
      <c r="K57" s="10"/>
      <c r="L57" s="8"/>
      <c r="M57" s="8"/>
      <c r="N57" s="8"/>
      <c r="O57" s="8"/>
      <c r="P57" s="8"/>
      <c r="Q57" s="8"/>
    </row>
    <row r="58" ht="15.75" customHeight="1">
      <c r="A58" s="18" t="s">
        <v>26</v>
      </c>
      <c r="B58" s="18" t="s">
        <v>9</v>
      </c>
      <c r="C58" s="18" t="s">
        <v>10</v>
      </c>
      <c r="D58" s="18" t="s">
        <v>27</v>
      </c>
      <c r="E58" s="18" t="s">
        <v>28</v>
      </c>
      <c r="F58" s="18">
        <v>3.0</v>
      </c>
      <c r="G58" s="18">
        <v>220.0</v>
      </c>
      <c r="H58" s="18">
        <v>660.0</v>
      </c>
      <c r="I58" s="8"/>
      <c r="J58" s="13"/>
      <c r="K58" s="10"/>
      <c r="L58" s="8"/>
      <c r="M58" s="8"/>
      <c r="N58" s="8"/>
      <c r="O58" s="8"/>
      <c r="P58" s="8"/>
      <c r="Q58" s="8"/>
    </row>
    <row r="59" ht="15.75" customHeight="1">
      <c r="A59" s="18" t="s">
        <v>29</v>
      </c>
      <c r="B59" s="18" t="s">
        <v>14</v>
      </c>
      <c r="C59" s="18" t="s">
        <v>20</v>
      </c>
      <c r="D59" s="18" t="s">
        <v>11</v>
      </c>
      <c r="E59" s="18" t="s">
        <v>12</v>
      </c>
      <c r="F59" s="18">
        <v>2.0</v>
      </c>
      <c r="G59" s="18">
        <v>500.0</v>
      </c>
      <c r="H59" s="18">
        <v>1000.0</v>
      </c>
      <c r="I59" s="8"/>
      <c r="J59" s="13"/>
      <c r="K59" s="10"/>
      <c r="L59" s="8"/>
      <c r="M59" s="8"/>
      <c r="N59" s="8"/>
      <c r="O59" s="8"/>
      <c r="P59" s="8"/>
      <c r="Q59" s="8"/>
    </row>
    <row r="60" ht="15.75" customHeight="1">
      <c r="A60" s="18" t="s">
        <v>44</v>
      </c>
      <c r="B60" s="18" t="s">
        <v>14</v>
      </c>
      <c r="C60" s="18" t="s">
        <v>20</v>
      </c>
      <c r="D60" s="18" t="s">
        <v>27</v>
      </c>
      <c r="E60" s="18" t="s">
        <v>28</v>
      </c>
      <c r="F60" s="18">
        <v>2.0</v>
      </c>
      <c r="G60" s="18">
        <v>220.0</v>
      </c>
      <c r="H60" s="18">
        <v>440.0</v>
      </c>
      <c r="I60" s="8"/>
      <c r="J60" s="13"/>
      <c r="K60" s="10"/>
      <c r="L60" s="8"/>
      <c r="M60" s="8"/>
      <c r="N60" s="8"/>
      <c r="O60" s="8"/>
      <c r="P60" s="8"/>
      <c r="Q60" s="8"/>
    </row>
    <row r="61" ht="15.75" customHeight="1">
      <c r="A61" s="18" t="s">
        <v>33</v>
      </c>
      <c r="B61" s="18" t="s">
        <v>23</v>
      </c>
      <c r="C61" s="18" t="s">
        <v>24</v>
      </c>
      <c r="D61" s="18" t="s">
        <v>34</v>
      </c>
      <c r="E61" s="18" t="s">
        <v>32</v>
      </c>
      <c r="F61" s="18">
        <v>2.0</v>
      </c>
      <c r="G61" s="18">
        <v>200.0</v>
      </c>
      <c r="H61" s="18">
        <v>400.0</v>
      </c>
      <c r="I61" s="8"/>
      <c r="J61" s="13"/>
      <c r="K61" s="10"/>
      <c r="L61" s="8"/>
      <c r="M61" s="8"/>
      <c r="N61" s="8"/>
      <c r="O61" s="8"/>
      <c r="P61" s="8"/>
      <c r="Q61" s="8"/>
    </row>
    <row r="62" ht="15.75" customHeight="1">
      <c r="A62" s="18" t="s">
        <v>47</v>
      </c>
      <c r="B62" s="18" t="s">
        <v>9</v>
      </c>
      <c r="C62" s="18" t="s">
        <v>10</v>
      </c>
      <c r="D62" s="18" t="s">
        <v>34</v>
      </c>
      <c r="E62" s="18" t="s">
        <v>32</v>
      </c>
      <c r="F62" s="18">
        <v>2.0</v>
      </c>
      <c r="G62" s="18">
        <v>200.0</v>
      </c>
      <c r="H62" s="18">
        <v>400.0</v>
      </c>
      <c r="I62" s="8"/>
      <c r="J62" s="13"/>
      <c r="K62" s="10"/>
      <c r="L62" s="8"/>
      <c r="M62" s="8"/>
      <c r="N62" s="8"/>
      <c r="O62" s="8"/>
      <c r="P62" s="8"/>
      <c r="Q62" s="8"/>
    </row>
    <row r="63" ht="15.75" customHeight="1">
      <c r="A63" s="20" t="s">
        <v>40</v>
      </c>
      <c r="B63" s="20" t="s">
        <v>14</v>
      </c>
      <c r="C63" s="20" t="s">
        <v>24</v>
      </c>
      <c r="D63" s="20" t="s">
        <v>34</v>
      </c>
      <c r="E63" s="20" t="s">
        <v>32</v>
      </c>
      <c r="F63" s="20">
        <v>1.0</v>
      </c>
      <c r="G63" s="20">
        <v>200.0</v>
      </c>
      <c r="H63" s="20">
        <v>200.0</v>
      </c>
      <c r="I63" s="8"/>
      <c r="J63" s="13"/>
      <c r="K63" s="10"/>
      <c r="L63" s="8"/>
      <c r="M63" s="8"/>
      <c r="N63" s="8"/>
      <c r="O63" s="8"/>
      <c r="P63" s="8"/>
      <c r="Q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13"/>
      <c r="K64" s="10"/>
      <c r="L64" s="8"/>
      <c r="M64" s="8"/>
      <c r="N64" s="8"/>
      <c r="O64" s="8"/>
      <c r="P64" s="8"/>
      <c r="Q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13"/>
      <c r="K65" s="10"/>
      <c r="L65" s="8"/>
      <c r="M65" s="8"/>
      <c r="N65" s="8"/>
      <c r="O65" s="8"/>
      <c r="P65" s="8"/>
      <c r="Q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13"/>
      <c r="K66" s="10"/>
      <c r="L66" s="8"/>
      <c r="M66" s="8"/>
      <c r="N66" s="8"/>
      <c r="O66" s="8"/>
      <c r="P66" s="8"/>
      <c r="Q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13"/>
      <c r="K67" s="10"/>
      <c r="L67" s="8"/>
      <c r="M67" s="8"/>
      <c r="N67" s="8"/>
      <c r="O67" s="8"/>
      <c r="P67" s="8"/>
      <c r="Q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13"/>
      <c r="K68" s="10"/>
      <c r="L68" s="8"/>
      <c r="M68" s="8"/>
      <c r="N68" s="8"/>
      <c r="O68" s="8"/>
      <c r="P68" s="8"/>
      <c r="Q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13"/>
      <c r="K69" s="10"/>
      <c r="L69" s="8"/>
      <c r="M69" s="8"/>
      <c r="N69" s="8"/>
      <c r="O69" s="8"/>
      <c r="P69" s="8"/>
      <c r="Q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13"/>
      <c r="K70" s="10"/>
      <c r="L70" s="8"/>
      <c r="M70" s="8"/>
      <c r="N70" s="8"/>
      <c r="O70" s="8"/>
      <c r="P70" s="8"/>
      <c r="Q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13"/>
      <c r="K71" s="10"/>
      <c r="L71" s="8"/>
      <c r="M71" s="8"/>
      <c r="N71" s="8"/>
      <c r="O71" s="8"/>
      <c r="P71" s="8"/>
      <c r="Q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13"/>
      <c r="K72" s="10"/>
      <c r="L72" s="8"/>
      <c r="M72" s="8"/>
      <c r="N72" s="8"/>
      <c r="O72" s="8"/>
      <c r="P72" s="8"/>
      <c r="Q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13"/>
      <c r="K73" s="10"/>
      <c r="L73" s="8"/>
      <c r="M73" s="8"/>
      <c r="N73" s="8"/>
      <c r="O73" s="8"/>
      <c r="P73" s="8"/>
      <c r="Q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13"/>
      <c r="K74" s="10"/>
      <c r="L74" s="8"/>
      <c r="M74" s="8"/>
      <c r="N74" s="8"/>
      <c r="O74" s="8"/>
      <c r="P74" s="8"/>
      <c r="Q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13"/>
      <c r="K75" s="10"/>
      <c r="L75" s="8"/>
      <c r="M75" s="8"/>
      <c r="N75" s="8"/>
      <c r="O75" s="8"/>
      <c r="P75" s="8"/>
      <c r="Q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13"/>
      <c r="K76" s="10"/>
      <c r="L76" s="8"/>
      <c r="M76" s="8"/>
      <c r="N76" s="8"/>
      <c r="O76" s="8"/>
      <c r="P76" s="8"/>
      <c r="Q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13"/>
      <c r="K77" s="10"/>
      <c r="L77" s="8"/>
      <c r="M77" s="8"/>
      <c r="N77" s="8"/>
      <c r="O77" s="8"/>
      <c r="P77" s="8"/>
      <c r="Q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13"/>
      <c r="K78" s="10"/>
      <c r="L78" s="8"/>
      <c r="M78" s="8"/>
      <c r="N78" s="8"/>
      <c r="O78" s="8"/>
      <c r="P78" s="8"/>
      <c r="Q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13"/>
      <c r="K79" s="10"/>
      <c r="L79" s="8"/>
      <c r="M79" s="8"/>
      <c r="N79" s="8"/>
      <c r="O79" s="8"/>
      <c r="P79" s="8"/>
      <c r="Q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13"/>
      <c r="K80" s="10"/>
      <c r="L80" s="8"/>
      <c r="M80" s="8"/>
      <c r="N80" s="8"/>
      <c r="O80" s="8"/>
      <c r="P80" s="8"/>
      <c r="Q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13"/>
      <c r="K81" s="10"/>
      <c r="L81" s="8"/>
      <c r="M81" s="8"/>
      <c r="N81" s="8"/>
      <c r="O81" s="8"/>
      <c r="P81" s="8"/>
      <c r="Q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13"/>
      <c r="K82" s="10"/>
      <c r="L82" s="8"/>
      <c r="M82" s="8"/>
      <c r="N82" s="8"/>
      <c r="O82" s="8"/>
      <c r="P82" s="8"/>
      <c r="Q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13"/>
      <c r="K83" s="10"/>
      <c r="L83" s="8"/>
      <c r="M83" s="8"/>
      <c r="N83" s="8"/>
      <c r="O83" s="8"/>
      <c r="P83" s="8"/>
      <c r="Q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13"/>
      <c r="K84" s="10"/>
      <c r="L84" s="8"/>
      <c r="M84" s="8"/>
      <c r="N84" s="8"/>
      <c r="O84" s="8"/>
      <c r="P84" s="8"/>
      <c r="Q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13"/>
      <c r="K85" s="10"/>
      <c r="L85" s="8"/>
      <c r="M85" s="8"/>
      <c r="N85" s="8"/>
      <c r="O85" s="8"/>
      <c r="P85" s="8"/>
      <c r="Q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13"/>
      <c r="K86" s="10"/>
      <c r="L86" s="8"/>
      <c r="M86" s="8"/>
      <c r="N86" s="8"/>
      <c r="O86" s="8"/>
      <c r="P86" s="8"/>
      <c r="Q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13"/>
      <c r="K87" s="10"/>
      <c r="L87" s="8"/>
      <c r="M87" s="8"/>
      <c r="N87" s="8"/>
      <c r="O87" s="8"/>
      <c r="P87" s="8"/>
      <c r="Q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13"/>
      <c r="K88" s="10"/>
      <c r="L88" s="8"/>
      <c r="M88" s="8"/>
      <c r="N88" s="8"/>
      <c r="O88" s="8"/>
      <c r="P88" s="8"/>
      <c r="Q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13"/>
      <c r="K89" s="10"/>
      <c r="L89" s="8"/>
      <c r="M89" s="8"/>
      <c r="N89" s="8"/>
      <c r="O89" s="8"/>
      <c r="P89" s="8"/>
      <c r="Q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13"/>
      <c r="K90" s="10"/>
      <c r="L90" s="8"/>
      <c r="M90" s="8"/>
      <c r="N90" s="8"/>
      <c r="O90" s="8"/>
      <c r="P90" s="8"/>
      <c r="Q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13"/>
      <c r="K91" s="10"/>
      <c r="L91" s="8"/>
      <c r="M91" s="8"/>
      <c r="N91" s="8"/>
      <c r="O91" s="8"/>
      <c r="P91" s="8"/>
      <c r="Q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13"/>
      <c r="K92" s="10"/>
      <c r="L92" s="8"/>
      <c r="M92" s="8"/>
      <c r="N92" s="8"/>
      <c r="O92" s="8"/>
      <c r="P92" s="8"/>
      <c r="Q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13"/>
      <c r="K93" s="10"/>
      <c r="L93" s="8"/>
      <c r="M93" s="8"/>
      <c r="N93" s="8"/>
      <c r="O93" s="8"/>
      <c r="P93" s="8"/>
      <c r="Q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13"/>
      <c r="K94" s="10"/>
      <c r="L94" s="8"/>
      <c r="M94" s="8"/>
      <c r="N94" s="8"/>
      <c r="O94" s="8"/>
      <c r="P94" s="8"/>
      <c r="Q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13"/>
      <c r="K95" s="10"/>
      <c r="L95" s="8"/>
      <c r="M95" s="8"/>
      <c r="N95" s="8"/>
      <c r="O95" s="8"/>
      <c r="P95" s="8"/>
      <c r="Q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13"/>
      <c r="K96" s="10"/>
      <c r="L96" s="8"/>
      <c r="M96" s="8"/>
      <c r="N96" s="8"/>
      <c r="O96" s="8"/>
      <c r="P96" s="8"/>
      <c r="Q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13"/>
      <c r="K97" s="10"/>
      <c r="L97" s="8"/>
      <c r="M97" s="8"/>
      <c r="N97" s="8"/>
      <c r="O97" s="8"/>
      <c r="P97" s="8"/>
      <c r="Q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13"/>
      <c r="K98" s="10"/>
      <c r="L98" s="8"/>
      <c r="M98" s="8"/>
      <c r="N98" s="8"/>
      <c r="O98" s="8"/>
      <c r="P98" s="8"/>
      <c r="Q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13"/>
      <c r="K99" s="10"/>
      <c r="L99" s="8"/>
      <c r="M99" s="8"/>
      <c r="N99" s="8"/>
      <c r="O99" s="8"/>
      <c r="P99" s="8"/>
      <c r="Q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13"/>
      <c r="K100" s="10"/>
      <c r="L100" s="8"/>
      <c r="M100" s="8"/>
      <c r="N100" s="8"/>
      <c r="O100" s="8"/>
      <c r="P100" s="8"/>
      <c r="Q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13"/>
      <c r="K101" s="10"/>
      <c r="L101" s="8"/>
      <c r="M101" s="8"/>
      <c r="N101" s="8"/>
      <c r="O101" s="8"/>
      <c r="P101" s="8"/>
      <c r="Q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13"/>
      <c r="K102" s="10"/>
      <c r="L102" s="8"/>
      <c r="M102" s="8"/>
      <c r="N102" s="8"/>
      <c r="O102" s="8"/>
      <c r="P102" s="8"/>
      <c r="Q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13"/>
      <c r="K103" s="10"/>
      <c r="L103" s="8"/>
      <c r="M103" s="8"/>
      <c r="N103" s="8"/>
      <c r="O103" s="8"/>
      <c r="P103" s="8"/>
      <c r="Q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13"/>
      <c r="K104" s="10"/>
      <c r="L104" s="8"/>
      <c r="M104" s="8"/>
      <c r="N104" s="8"/>
      <c r="O104" s="8"/>
      <c r="P104" s="8"/>
      <c r="Q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13"/>
      <c r="K105" s="10"/>
      <c r="L105" s="8"/>
      <c r="M105" s="8"/>
      <c r="N105" s="8"/>
      <c r="O105" s="8"/>
      <c r="P105" s="8"/>
      <c r="Q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13"/>
      <c r="K106" s="10"/>
      <c r="L106" s="8"/>
      <c r="M106" s="8"/>
      <c r="N106" s="8"/>
      <c r="O106" s="8"/>
      <c r="P106" s="8"/>
      <c r="Q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13"/>
      <c r="K107" s="10"/>
      <c r="L107" s="8"/>
      <c r="M107" s="8"/>
      <c r="N107" s="8"/>
      <c r="O107" s="8"/>
      <c r="P107" s="8"/>
      <c r="Q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13"/>
      <c r="K108" s="10"/>
      <c r="L108" s="8"/>
      <c r="M108" s="8"/>
      <c r="N108" s="8"/>
      <c r="O108" s="8"/>
      <c r="P108" s="8"/>
      <c r="Q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13"/>
      <c r="K109" s="10"/>
      <c r="L109" s="8"/>
      <c r="M109" s="8"/>
      <c r="N109" s="8"/>
      <c r="O109" s="8"/>
      <c r="P109" s="8"/>
      <c r="Q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13"/>
      <c r="K110" s="10"/>
      <c r="L110" s="8"/>
      <c r="M110" s="8"/>
      <c r="N110" s="8"/>
      <c r="O110" s="8"/>
      <c r="P110" s="8"/>
      <c r="Q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13"/>
      <c r="K111" s="10"/>
      <c r="L111" s="8"/>
      <c r="M111" s="8"/>
      <c r="N111" s="8"/>
      <c r="O111" s="8"/>
      <c r="P111" s="8"/>
      <c r="Q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13"/>
      <c r="K112" s="10"/>
      <c r="L112" s="8"/>
      <c r="M112" s="8"/>
      <c r="N112" s="8"/>
      <c r="O112" s="8"/>
      <c r="P112" s="8"/>
      <c r="Q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13"/>
      <c r="K113" s="10"/>
      <c r="L113" s="8"/>
      <c r="M113" s="8"/>
      <c r="N113" s="8"/>
      <c r="O113" s="8"/>
      <c r="P113" s="8"/>
      <c r="Q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13"/>
      <c r="K114" s="10"/>
      <c r="L114" s="8"/>
      <c r="M114" s="8"/>
      <c r="N114" s="8"/>
      <c r="O114" s="8"/>
      <c r="P114" s="8"/>
      <c r="Q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13"/>
      <c r="K115" s="10"/>
      <c r="L115" s="8"/>
      <c r="M115" s="8"/>
      <c r="N115" s="8"/>
      <c r="O115" s="8"/>
      <c r="P115" s="8"/>
      <c r="Q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13"/>
      <c r="K116" s="10"/>
      <c r="L116" s="8"/>
      <c r="M116" s="8"/>
      <c r="N116" s="8"/>
      <c r="O116" s="8"/>
      <c r="P116" s="8"/>
      <c r="Q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13"/>
      <c r="K117" s="10"/>
      <c r="L117" s="8"/>
      <c r="M117" s="8"/>
      <c r="N117" s="8"/>
      <c r="O117" s="8"/>
      <c r="P117" s="8"/>
      <c r="Q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13"/>
      <c r="K118" s="10"/>
      <c r="L118" s="8"/>
      <c r="M118" s="8"/>
      <c r="N118" s="8"/>
      <c r="O118" s="8"/>
      <c r="P118" s="8"/>
      <c r="Q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13"/>
      <c r="K119" s="10"/>
      <c r="L119" s="8"/>
      <c r="M119" s="8"/>
      <c r="N119" s="8"/>
      <c r="O119" s="8"/>
      <c r="P119" s="8"/>
      <c r="Q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13"/>
      <c r="K120" s="10"/>
      <c r="L120" s="8"/>
      <c r="M120" s="8"/>
      <c r="N120" s="8"/>
      <c r="O120" s="8"/>
      <c r="P120" s="8"/>
      <c r="Q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13"/>
      <c r="K121" s="10"/>
      <c r="L121" s="8"/>
      <c r="M121" s="8"/>
      <c r="N121" s="8"/>
      <c r="O121" s="8"/>
      <c r="P121" s="8"/>
      <c r="Q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13"/>
      <c r="K122" s="10"/>
      <c r="L122" s="8"/>
      <c r="M122" s="8"/>
      <c r="N122" s="8"/>
      <c r="O122" s="8"/>
      <c r="P122" s="8"/>
      <c r="Q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13"/>
      <c r="K123" s="10"/>
      <c r="L123" s="8"/>
      <c r="M123" s="8"/>
      <c r="N123" s="8"/>
      <c r="O123" s="8"/>
      <c r="P123" s="8"/>
      <c r="Q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13"/>
      <c r="K124" s="10"/>
      <c r="L124" s="8"/>
      <c r="M124" s="8"/>
      <c r="N124" s="8"/>
      <c r="O124" s="8"/>
      <c r="P124" s="8"/>
      <c r="Q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13"/>
      <c r="K125" s="10"/>
      <c r="L125" s="8"/>
      <c r="M125" s="8"/>
      <c r="N125" s="8"/>
      <c r="O125" s="8"/>
      <c r="P125" s="8"/>
      <c r="Q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13"/>
      <c r="K126" s="10"/>
      <c r="L126" s="8"/>
      <c r="M126" s="8"/>
      <c r="N126" s="8"/>
      <c r="O126" s="8"/>
      <c r="P126" s="8"/>
      <c r="Q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13"/>
      <c r="K127" s="10"/>
      <c r="L127" s="8"/>
      <c r="M127" s="8"/>
      <c r="N127" s="8"/>
      <c r="O127" s="8"/>
      <c r="P127" s="8"/>
      <c r="Q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13"/>
      <c r="K128" s="10"/>
      <c r="L128" s="8"/>
      <c r="M128" s="8"/>
      <c r="N128" s="8"/>
      <c r="O128" s="8"/>
      <c r="P128" s="8"/>
      <c r="Q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13"/>
      <c r="K129" s="10"/>
      <c r="L129" s="8"/>
      <c r="M129" s="8"/>
      <c r="N129" s="8"/>
      <c r="O129" s="8"/>
      <c r="P129" s="8"/>
      <c r="Q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13"/>
      <c r="K130" s="10"/>
      <c r="L130" s="8"/>
      <c r="M130" s="8"/>
      <c r="N130" s="8"/>
      <c r="O130" s="8"/>
      <c r="P130" s="8"/>
      <c r="Q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13"/>
      <c r="K131" s="10"/>
      <c r="L131" s="8"/>
      <c r="M131" s="8"/>
      <c r="N131" s="8"/>
      <c r="O131" s="8"/>
      <c r="P131" s="8"/>
      <c r="Q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13"/>
      <c r="K132" s="10"/>
      <c r="L132" s="8"/>
      <c r="M132" s="8"/>
      <c r="N132" s="8"/>
      <c r="O132" s="8"/>
      <c r="P132" s="8"/>
      <c r="Q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13"/>
      <c r="K133" s="10"/>
      <c r="L133" s="8"/>
      <c r="M133" s="8"/>
      <c r="N133" s="8"/>
      <c r="O133" s="8"/>
      <c r="P133" s="8"/>
      <c r="Q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13"/>
      <c r="K134" s="10"/>
      <c r="L134" s="8"/>
      <c r="M134" s="8"/>
      <c r="N134" s="8"/>
      <c r="O134" s="8"/>
      <c r="P134" s="8"/>
      <c r="Q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13"/>
      <c r="K135" s="10"/>
      <c r="L135" s="8"/>
      <c r="M135" s="8"/>
      <c r="N135" s="8"/>
      <c r="O135" s="8"/>
      <c r="P135" s="8"/>
      <c r="Q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13"/>
      <c r="K136" s="10"/>
      <c r="L136" s="8"/>
      <c r="M136" s="8"/>
      <c r="N136" s="8"/>
      <c r="O136" s="8"/>
      <c r="P136" s="8"/>
      <c r="Q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13"/>
      <c r="K137" s="10"/>
      <c r="L137" s="8"/>
      <c r="M137" s="8"/>
      <c r="N137" s="8"/>
      <c r="O137" s="8"/>
      <c r="P137" s="8"/>
      <c r="Q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13"/>
      <c r="K138" s="10"/>
      <c r="L138" s="8"/>
      <c r="M138" s="8"/>
      <c r="N138" s="8"/>
      <c r="O138" s="8"/>
      <c r="P138" s="8"/>
      <c r="Q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13"/>
      <c r="K139" s="10"/>
      <c r="L139" s="8"/>
      <c r="M139" s="8"/>
      <c r="N139" s="8"/>
      <c r="O139" s="8"/>
      <c r="P139" s="8"/>
      <c r="Q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13"/>
      <c r="K140" s="10"/>
      <c r="L140" s="8"/>
      <c r="M140" s="8"/>
      <c r="N140" s="8"/>
      <c r="O140" s="8"/>
      <c r="P140" s="8"/>
      <c r="Q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13"/>
      <c r="K141" s="10"/>
      <c r="L141" s="8"/>
      <c r="M141" s="8"/>
      <c r="N141" s="8"/>
      <c r="O141" s="8"/>
      <c r="P141" s="8"/>
      <c r="Q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13"/>
      <c r="K142" s="10"/>
      <c r="L142" s="8"/>
      <c r="M142" s="8"/>
      <c r="N142" s="8"/>
      <c r="O142" s="8"/>
      <c r="P142" s="8"/>
      <c r="Q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13"/>
      <c r="K143" s="10"/>
      <c r="L143" s="8"/>
      <c r="M143" s="8"/>
      <c r="N143" s="8"/>
      <c r="O143" s="8"/>
      <c r="P143" s="8"/>
      <c r="Q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13"/>
      <c r="K144" s="10"/>
      <c r="L144" s="8"/>
      <c r="M144" s="8"/>
      <c r="N144" s="8"/>
      <c r="O144" s="8"/>
      <c r="P144" s="8"/>
      <c r="Q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13"/>
      <c r="K145" s="10"/>
      <c r="L145" s="8"/>
      <c r="M145" s="8"/>
      <c r="N145" s="8"/>
      <c r="O145" s="8"/>
      <c r="P145" s="8"/>
      <c r="Q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13"/>
      <c r="K146" s="10"/>
      <c r="L146" s="8"/>
      <c r="M146" s="8"/>
      <c r="N146" s="8"/>
      <c r="O146" s="8"/>
      <c r="P146" s="8"/>
      <c r="Q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13"/>
      <c r="K147" s="10"/>
      <c r="L147" s="8"/>
      <c r="M147" s="8"/>
      <c r="N147" s="8"/>
      <c r="O147" s="8"/>
      <c r="P147" s="8"/>
      <c r="Q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13"/>
      <c r="K148" s="10"/>
      <c r="L148" s="8"/>
      <c r="M148" s="8"/>
      <c r="N148" s="8"/>
      <c r="O148" s="8"/>
      <c r="P148" s="8"/>
      <c r="Q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13"/>
      <c r="K149" s="10"/>
      <c r="L149" s="8"/>
      <c r="M149" s="8"/>
      <c r="N149" s="8"/>
      <c r="O149" s="8"/>
      <c r="P149" s="8"/>
      <c r="Q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13"/>
      <c r="K150" s="10"/>
      <c r="L150" s="8"/>
      <c r="M150" s="8"/>
      <c r="N150" s="8"/>
      <c r="O150" s="8"/>
      <c r="P150" s="8"/>
      <c r="Q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13"/>
      <c r="K151" s="10"/>
      <c r="L151" s="8"/>
      <c r="M151" s="8"/>
      <c r="N151" s="8"/>
      <c r="O151" s="8"/>
      <c r="P151" s="8"/>
      <c r="Q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13"/>
      <c r="K152" s="10"/>
      <c r="L152" s="8"/>
      <c r="M152" s="8"/>
      <c r="N152" s="8"/>
      <c r="O152" s="8"/>
      <c r="P152" s="8"/>
      <c r="Q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13"/>
      <c r="K153" s="10"/>
      <c r="L153" s="8"/>
      <c r="M153" s="8"/>
      <c r="N153" s="8"/>
      <c r="O153" s="8"/>
      <c r="P153" s="8"/>
      <c r="Q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13"/>
      <c r="K154" s="10"/>
      <c r="L154" s="8"/>
      <c r="M154" s="8"/>
      <c r="N154" s="8"/>
      <c r="O154" s="8"/>
      <c r="P154" s="8"/>
      <c r="Q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13"/>
      <c r="K155" s="10"/>
      <c r="L155" s="8"/>
      <c r="M155" s="8"/>
      <c r="N155" s="8"/>
      <c r="O155" s="8"/>
      <c r="P155" s="8"/>
      <c r="Q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13"/>
      <c r="K156" s="10"/>
      <c r="L156" s="8"/>
      <c r="M156" s="8"/>
      <c r="N156" s="8"/>
      <c r="O156" s="8"/>
      <c r="P156" s="8"/>
      <c r="Q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13"/>
      <c r="K157" s="10"/>
      <c r="L157" s="8"/>
      <c r="M157" s="8"/>
      <c r="N157" s="8"/>
      <c r="O157" s="8"/>
      <c r="P157" s="8"/>
      <c r="Q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13"/>
      <c r="K158" s="10"/>
      <c r="L158" s="8"/>
      <c r="M158" s="8"/>
      <c r="N158" s="8"/>
      <c r="O158" s="8"/>
      <c r="P158" s="8"/>
      <c r="Q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13"/>
      <c r="K159" s="10"/>
      <c r="L159" s="8"/>
      <c r="M159" s="8"/>
      <c r="N159" s="8"/>
      <c r="O159" s="8"/>
      <c r="P159" s="8"/>
      <c r="Q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13"/>
      <c r="K160" s="10"/>
      <c r="L160" s="8"/>
      <c r="M160" s="8"/>
      <c r="N160" s="8"/>
      <c r="O160" s="8"/>
      <c r="P160" s="8"/>
      <c r="Q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13"/>
      <c r="K161" s="10"/>
      <c r="L161" s="8"/>
      <c r="M161" s="8"/>
      <c r="N161" s="8"/>
      <c r="O161" s="8"/>
      <c r="P161" s="8"/>
      <c r="Q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13"/>
      <c r="K162" s="10"/>
      <c r="L162" s="8"/>
      <c r="M162" s="8"/>
      <c r="N162" s="8"/>
      <c r="O162" s="8"/>
      <c r="P162" s="8"/>
      <c r="Q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13"/>
      <c r="K163" s="10"/>
      <c r="L163" s="8"/>
      <c r="M163" s="8"/>
      <c r="N163" s="8"/>
      <c r="O163" s="8"/>
      <c r="P163" s="8"/>
      <c r="Q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13"/>
      <c r="K164" s="10"/>
      <c r="L164" s="8"/>
      <c r="M164" s="8"/>
      <c r="N164" s="8"/>
      <c r="O164" s="8"/>
      <c r="P164" s="8"/>
      <c r="Q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13"/>
      <c r="K165" s="10"/>
      <c r="L165" s="8"/>
      <c r="M165" s="8"/>
      <c r="N165" s="8"/>
      <c r="O165" s="8"/>
      <c r="P165" s="8"/>
      <c r="Q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13"/>
      <c r="K166" s="10"/>
      <c r="L166" s="8"/>
      <c r="M166" s="8"/>
      <c r="N166" s="8"/>
      <c r="O166" s="8"/>
      <c r="P166" s="8"/>
      <c r="Q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13"/>
      <c r="K167" s="10"/>
      <c r="L167" s="8"/>
      <c r="M167" s="8"/>
      <c r="N167" s="8"/>
      <c r="O167" s="8"/>
      <c r="P167" s="8"/>
      <c r="Q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13"/>
      <c r="K168" s="10"/>
      <c r="L168" s="8"/>
      <c r="M168" s="8"/>
      <c r="N168" s="8"/>
      <c r="O168" s="8"/>
      <c r="P168" s="8"/>
      <c r="Q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13"/>
      <c r="K169" s="10"/>
      <c r="L169" s="8"/>
      <c r="M169" s="8"/>
      <c r="N169" s="8"/>
      <c r="O169" s="8"/>
      <c r="P169" s="8"/>
      <c r="Q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13"/>
      <c r="K170" s="10"/>
      <c r="L170" s="8"/>
      <c r="M170" s="8"/>
      <c r="N170" s="8"/>
      <c r="O170" s="8"/>
      <c r="P170" s="8"/>
      <c r="Q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13"/>
      <c r="K171" s="10"/>
      <c r="L171" s="8"/>
      <c r="M171" s="8"/>
      <c r="N171" s="8"/>
      <c r="O171" s="8"/>
      <c r="P171" s="8"/>
      <c r="Q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13"/>
      <c r="K172" s="10"/>
      <c r="L172" s="8"/>
      <c r="M172" s="8"/>
      <c r="N172" s="8"/>
      <c r="O172" s="8"/>
      <c r="P172" s="8"/>
      <c r="Q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13"/>
      <c r="K173" s="10"/>
      <c r="L173" s="8"/>
      <c r="M173" s="8"/>
      <c r="N173" s="8"/>
      <c r="O173" s="8"/>
      <c r="P173" s="8"/>
      <c r="Q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13"/>
      <c r="K174" s="10"/>
      <c r="L174" s="8"/>
      <c r="M174" s="8"/>
      <c r="N174" s="8"/>
      <c r="O174" s="8"/>
      <c r="P174" s="8"/>
      <c r="Q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13"/>
      <c r="K175" s="10"/>
      <c r="L175" s="8"/>
      <c r="M175" s="8"/>
      <c r="N175" s="8"/>
      <c r="O175" s="8"/>
      <c r="P175" s="8"/>
      <c r="Q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13"/>
      <c r="K176" s="10"/>
      <c r="L176" s="8"/>
      <c r="M176" s="8"/>
      <c r="N176" s="8"/>
      <c r="O176" s="8"/>
      <c r="P176" s="8"/>
      <c r="Q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13"/>
      <c r="K177" s="10"/>
      <c r="L177" s="8"/>
      <c r="M177" s="8"/>
      <c r="N177" s="8"/>
      <c r="O177" s="8"/>
      <c r="P177" s="8"/>
      <c r="Q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13"/>
      <c r="K178" s="10"/>
      <c r="L178" s="8"/>
      <c r="M178" s="8"/>
      <c r="N178" s="8"/>
      <c r="O178" s="8"/>
      <c r="P178" s="8"/>
      <c r="Q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13"/>
      <c r="K179" s="10"/>
      <c r="L179" s="8"/>
      <c r="M179" s="8"/>
      <c r="N179" s="8"/>
      <c r="O179" s="8"/>
      <c r="P179" s="8"/>
      <c r="Q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13"/>
      <c r="K180" s="10"/>
      <c r="L180" s="8"/>
      <c r="M180" s="8"/>
      <c r="N180" s="8"/>
      <c r="O180" s="8"/>
      <c r="P180" s="8"/>
      <c r="Q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13"/>
      <c r="K181" s="10"/>
      <c r="L181" s="8"/>
      <c r="M181" s="8"/>
      <c r="N181" s="8"/>
      <c r="O181" s="8"/>
      <c r="P181" s="8"/>
      <c r="Q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13"/>
      <c r="K182" s="10"/>
      <c r="L182" s="8"/>
      <c r="M182" s="8"/>
      <c r="N182" s="8"/>
      <c r="O182" s="8"/>
      <c r="P182" s="8"/>
      <c r="Q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13"/>
      <c r="K183" s="10"/>
      <c r="L183" s="8"/>
      <c r="M183" s="8"/>
      <c r="N183" s="8"/>
      <c r="O183" s="8"/>
      <c r="P183" s="8"/>
      <c r="Q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13"/>
      <c r="K184" s="10"/>
      <c r="L184" s="8"/>
      <c r="M184" s="8"/>
      <c r="N184" s="8"/>
      <c r="O184" s="8"/>
      <c r="P184" s="8"/>
      <c r="Q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13"/>
      <c r="K185" s="10"/>
      <c r="L185" s="8"/>
      <c r="M185" s="8"/>
      <c r="N185" s="8"/>
      <c r="O185" s="8"/>
      <c r="P185" s="8"/>
      <c r="Q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13"/>
      <c r="K186" s="10"/>
      <c r="L186" s="8"/>
      <c r="M186" s="8"/>
      <c r="N186" s="8"/>
      <c r="O186" s="8"/>
      <c r="P186" s="8"/>
      <c r="Q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13"/>
      <c r="K187" s="10"/>
      <c r="L187" s="8"/>
      <c r="M187" s="8"/>
      <c r="N187" s="8"/>
      <c r="O187" s="8"/>
      <c r="P187" s="8"/>
      <c r="Q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13"/>
      <c r="K188" s="10"/>
      <c r="L188" s="8"/>
      <c r="M188" s="8"/>
      <c r="N188" s="8"/>
      <c r="O188" s="8"/>
      <c r="P188" s="8"/>
      <c r="Q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13"/>
      <c r="K189" s="10"/>
      <c r="L189" s="8"/>
      <c r="M189" s="8"/>
      <c r="N189" s="8"/>
      <c r="O189" s="8"/>
      <c r="P189" s="8"/>
      <c r="Q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13"/>
      <c r="K190" s="10"/>
      <c r="L190" s="8"/>
      <c r="M190" s="8"/>
      <c r="N190" s="8"/>
      <c r="O190" s="8"/>
      <c r="P190" s="8"/>
      <c r="Q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13"/>
      <c r="K191" s="10"/>
      <c r="L191" s="8"/>
      <c r="M191" s="8"/>
      <c r="N191" s="8"/>
      <c r="O191" s="8"/>
      <c r="P191" s="8"/>
      <c r="Q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13"/>
      <c r="K192" s="10"/>
      <c r="L192" s="8"/>
      <c r="M192" s="8"/>
      <c r="N192" s="8"/>
      <c r="O192" s="8"/>
      <c r="P192" s="8"/>
      <c r="Q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13"/>
      <c r="K193" s="10"/>
      <c r="L193" s="8"/>
      <c r="M193" s="8"/>
      <c r="N193" s="8"/>
      <c r="O193" s="8"/>
      <c r="P193" s="8"/>
      <c r="Q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13"/>
      <c r="K194" s="10"/>
      <c r="L194" s="8"/>
      <c r="M194" s="8"/>
      <c r="N194" s="8"/>
      <c r="O194" s="8"/>
      <c r="P194" s="8"/>
      <c r="Q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13"/>
      <c r="K195" s="10"/>
      <c r="L195" s="8"/>
      <c r="M195" s="8"/>
      <c r="N195" s="8"/>
      <c r="O195" s="8"/>
      <c r="P195" s="8"/>
      <c r="Q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13"/>
      <c r="K196" s="10"/>
      <c r="L196" s="8"/>
      <c r="M196" s="8"/>
      <c r="N196" s="8"/>
      <c r="O196" s="8"/>
      <c r="P196" s="8"/>
      <c r="Q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13"/>
      <c r="K197" s="10"/>
      <c r="L197" s="8"/>
      <c r="M197" s="8"/>
      <c r="N197" s="8"/>
      <c r="O197" s="8"/>
      <c r="P197" s="8"/>
      <c r="Q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13"/>
      <c r="K198" s="10"/>
      <c r="L198" s="8"/>
      <c r="M198" s="8"/>
      <c r="N198" s="8"/>
      <c r="O198" s="8"/>
      <c r="P198" s="8"/>
      <c r="Q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13"/>
      <c r="K199" s="10"/>
      <c r="L199" s="8"/>
      <c r="M199" s="8"/>
      <c r="N199" s="8"/>
      <c r="O199" s="8"/>
      <c r="P199" s="8"/>
      <c r="Q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13"/>
      <c r="K200" s="10"/>
      <c r="L200" s="8"/>
      <c r="M200" s="8"/>
      <c r="N200" s="8"/>
      <c r="O200" s="8"/>
      <c r="P200" s="8"/>
      <c r="Q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13"/>
      <c r="K201" s="10"/>
      <c r="L201" s="8"/>
      <c r="M201" s="8"/>
      <c r="N201" s="8"/>
      <c r="O201" s="8"/>
      <c r="P201" s="8"/>
      <c r="Q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13"/>
      <c r="K202" s="10"/>
      <c r="L202" s="8"/>
      <c r="M202" s="8"/>
      <c r="N202" s="8"/>
      <c r="O202" s="8"/>
      <c r="P202" s="8"/>
      <c r="Q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13"/>
      <c r="K203" s="10"/>
      <c r="L203" s="8"/>
      <c r="M203" s="8"/>
      <c r="N203" s="8"/>
      <c r="O203" s="8"/>
      <c r="P203" s="8"/>
      <c r="Q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13"/>
      <c r="K204" s="10"/>
      <c r="L204" s="8"/>
      <c r="M204" s="8"/>
      <c r="N204" s="8"/>
      <c r="O204" s="8"/>
      <c r="P204" s="8"/>
      <c r="Q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13"/>
      <c r="K205" s="10"/>
      <c r="L205" s="8"/>
      <c r="M205" s="8"/>
      <c r="N205" s="8"/>
      <c r="O205" s="8"/>
      <c r="P205" s="8"/>
      <c r="Q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13"/>
      <c r="K206" s="10"/>
      <c r="L206" s="8"/>
      <c r="M206" s="8"/>
      <c r="N206" s="8"/>
      <c r="O206" s="8"/>
      <c r="P206" s="8"/>
      <c r="Q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13"/>
      <c r="K207" s="10"/>
      <c r="L207" s="8"/>
      <c r="M207" s="8"/>
      <c r="N207" s="8"/>
      <c r="O207" s="8"/>
      <c r="P207" s="8"/>
      <c r="Q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13"/>
      <c r="K208" s="10"/>
      <c r="L208" s="8"/>
      <c r="M208" s="8"/>
      <c r="N208" s="8"/>
      <c r="O208" s="8"/>
      <c r="P208" s="8"/>
      <c r="Q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13"/>
      <c r="K209" s="10"/>
      <c r="L209" s="8"/>
      <c r="M209" s="8"/>
      <c r="N209" s="8"/>
      <c r="O209" s="8"/>
      <c r="P209" s="8"/>
      <c r="Q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13"/>
      <c r="K210" s="10"/>
      <c r="L210" s="8"/>
      <c r="M210" s="8"/>
      <c r="N210" s="8"/>
      <c r="O210" s="8"/>
      <c r="P210" s="8"/>
      <c r="Q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13"/>
      <c r="K211" s="10"/>
      <c r="L211" s="8"/>
      <c r="M211" s="8"/>
      <c r="N211" s="8"/>
      <c r="O211" s="8"/>
      <c r="P211" s="8"/>
      <c r="Q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13"/>
      <c r="K212" s="10"/>
      <c r="L212" s="8"/>
      <c r="M212" s="8"/>
      <c r="N212" s="8"/>
      <c r="O212" s="8"/>
      <c r="P212" s="8"/>
      <c r="Q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13"/>
      <c r="K213" s="10"/>
      <c r="L213" s="8"/>
      <c r="M213" s="8"/>
      <c r="N213" s="8"/>
      <c r="O213" s="8"/>
      <c r="P213" s="8"/>
      <c r="Q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13"/>
      <c r="K214" s="10"/>
      <c r="L214" s="8"/>
      <c r="M214" s="8"/>
      <c r="N214" s="8"/>
      <c r="O214" s="8"/>
      <c r="P214" s="8"/>
      <c r="Q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13"/>
      <c r="K215" s="10"/>
      <c r="L215" s="8"/>
      <c r="M215" s="8"/>
      <c r="N215" s="8"/>
      <c r="O215" s="8"/>
      <c r="P215" s="8"/>
      <c r="Q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13"/>
      <c r="K216" s="10"/>
      <c r="L216" s="8"/>
      <c r="M216" s="8"/>
      <c r="N216" s="8"/>
      <c r="O216" s="8"/>
      <c r="P216" s="8"/>
      <c r="Q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13"/>
      <c r="K217" s="10"/>
      <c r="L217" s="8"/>
      <c r="M217" s="8"/>
      <c r="N217" s="8"/>
      <c r="O217" s="8"/>
      <c r="P217" s="8"/>
      <c r="Q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13"/>
      <c r="K218" s="10"/>
      <c r="L218" s="8"/>
      <c r="M218" s="8"/>
      <c r="N218" s="8"/>
      <c r="O218" s="8"/>
      <c r="P218" s="8"/>
      <c r="Q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13"/>
      <c r="K219" s="10"/>
      <c r="L219" s="8"/>
      <c r="M219" s="8"/>
      <c r="N219" s="8"/>
      <c r="O219" s="8"/>
      <c r="P219" s="8"/>
      <c r="Q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13"/>
      <c r="K220" s="10"/>
      <c r="L220" s="8"/>
      <c r="M220" s="8"/>
      <c r="N220" s="8"/>
      <c r="O220" s="8"/>
      <c r="P220" s="8"/>
      <c r="Q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13"/>
      <c r="K221" s="10"/>
      <c r="L221" s="8"/>
      <c r="M221" s="8"/>
      <c r="N221" s="8"/>
      <c r="O221" s="8"/>
      <c r="P221" s="8"/>
      <c r="Q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13"/>
      <c r="K222" s="10"/>
      <c r="L222" s="8"/>
      <c r="M222" s="8"/>
      <c r="N222" s="8"/>
      <c r="O222" s="8"/>
      <c r="P222" s="8"/>
      <c r="Q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13"/>
      <c r="K223" s="10"/>
      <c r="L223" s="8"/>
      <c r="M223" s="8"/>
      <c r="N223" s="8"/>
      <c r="O223" s="8"/>
      <c r="P223" s="8"/>
      <c r="Q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13"/>
      <c r="K224" s="10"/>
      <c r="L224" s="8"/>
      <c r="M224" s="8"/>
      <c r="N224" s="8"/>
      <c r="O224" s="8"/>
      <c r="P224" s="8"/>
      <c r="Q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13"/>
      <c r="K225" s="10"/>
      <c r="L225" s="8"/>
      <c r="M225" s="8"/>
      <c r="N225" s="8"/>
      <c r="O225" s="8"/>
      <c r="P225" s="8"/>
      <c r="Q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13"/>
      <c r="K226" s="10"/>
      <c r="L226" s="8"/>
      <c r="M226" s="8"/>
      <c r="N226" s="8"/>
      <c r="O226" s="8"/>
      <c r="P226" s="8"/>
      <c r="Q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13"/>
      <c r="K227" s="10"/>
      <c r="L227" s="8"/>
      <c r="M227" s="8"/>
      <c r="N227" s="8"/>
      <c r="O227" s="8"/>
      <c r="P227" s="8"/>
      <c r="Q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13"/>
      <c r="K228" s="10"/>
      <c r="L228" s="8"/>
      <c r="M228" s="8"/>
      <c r="N228" s="8"/>
      <c r="O228" s="8"/>
      <c r="P228" s="8"/>
      <c r="Q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13"/>
      <c r="K229" s="10"/>
      <c r="L229" s="8"/>
      <c r="M229" s="8"/>
      <c r="N229" s="8"/>
      <c r="O229" s="8"/>
      <c r="P229" s="8"/>
      <c r="Q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13"/>
      <c r="K230" s="10"/>
      <c r="L230" s="8"/>
      <c r="M230" s="8"/>
      <c r="N230" s="8"/>
      <c r="O230" s="8"/>
      <c r="P230" s="8"/>
      <c r="Q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13"/>
      <c r="K231" s="10"/>
      <c r="L231" s="8"/>
      <c r="M231" s="8"/>
      <c r="N231" s="8"/>
      <c r="O231" s="8"/>
      <c r="P231" s="8"/>
      <c r="Q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13"/>
      <c r="K232" s="10"/>
      <c r="L232" s="8"/>
      <c r="M232" s="8"/>
      <c r="N232" s="8"/>
      <c r="O232" s="8"/>
      <c r="P232" s="8"/>
      <c r="Q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13"/>
      <c r="K233" s="10"/>
      <c r="L233" s="8"/>
      <c r="M233" s="8"/>
      <c r="N233" s="8"/>
      <c r="O233" s="8"/>
      <c r="P233" s="8"/>
      <c r="Q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13"/>
      <c r="K234" s="10"/>
      <c r="L234" s="8"/>
      <c r="M234" s="8"/>
      <c r="N234" s="8"/>
      <c r="O234" s="8"/>
      <c r="P234" s="8"/>
      <c r="Q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13"/>
      <c r="K235" s="10"/>
      <c r="L235" s="8"/>
      <c r="M235" s="8"/>
      <c r="N235" s="8"/>
      <c r="O235" s="8"/>
      <c r="P235" s="8"/>
      <c r="Q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13"/>
      <c r="K236" s="10"/>
      <c r="L236" s="8"/>
      <c r="M236" s="8"/>
      <c r="N236" s="8"/>
      <c r="O236" s="8"/>
      <c r="P236" s="8"/>
      <c r="Q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13"/>
      <c r="K237" s="10"/>
      <c r="L237" s="8"/>
      <c r="M237" s="8"/>
      <c r="N237" s="8"/>
      <c r="O237" s="8"/>
      <c r="P237" s="8"/>
      <c r="Q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13"/>
      <c r="K238" s="10"/>
      <c r="L238" s="8"/>
      <c r="M238" s="8"/>
      <c r="N238" s="8"/>
      <c r="O238" s="8"/>
      <c r="P238" s="8"/>
      <c r="Q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13"/>
      <c r="K239" s="10"/>
      <c r="L239" s="8"/>
      <c r="M239" s="8"/>
      <c r="N239" s="8"/>
      <c r="O239" s="8"/>
      <c r="P239" s="8"/>
      <c r="Q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13"/>
      <c r="K240" s="10"/>
      <c r="L240" s="8"/>
      <c r="M240" s="8"/>
      <c r="N240" s="8"/>
      <c r="O240" s="8"/>
      <c r="P240" s="8"/>
      <c r="Q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13"/>
      <c r="K241" s="10"/>
      <c r="L241" s="8"/>
      <c r="M241" s="8"/>
      <c r="N241" s="8"/>
      <c r="O241" s="8"/>
      <c r="P241" s="8"/>
      <c r="Q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13"/>
      <c r="K242" s="10"/>
      <c r="L242" s="8"/>
      <c r="M242" s="8"/>
      <c r="N242" s="8"/>
      <c r="O242" s="8"/>
      <c r="P242" s="8"/>
      <c r="Q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13"/>
      <c r="K243" s="10"/>
      <c r="L243" s="8"/>
      <c r="M243" s="8"/>
      <c r="N243" s="8"/>
      <c r="O243" s="8"/>
      <c r="P243" s="8"/>
      <c r="Q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13"/>
      <c r="K244" s="10"/>
      <c r="L244" s="8"/>
      <c r="M244" s="8"/>
      <c r="N244" s="8"/>
      <c r="O244" s="8"/>
      <c r="P244" s="8"/>
      <c r="Q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13"/>
      <c r="K245" s="10"/>
      <c r="L245" s="8"/>
      <c r="M245" s="8"/>
      <c r="N245" s="8"/>
      <c r="O245" s="8"/>
      <c r="P245" s="8"/>
      <c r="Q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13"/>
      <c r="K246" s="10"/>
      <c r="L246" s="8"/>
      <c r="M246" s="8"/>
      <c r="N246" s="8"/>
      <c r="O246" s="8"/>
      <c r="P246" s="8"/>
      <c r="Q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13"/>
      <c r="K247" s="10"/>
      <c r="L247" s="8"/>
      <c r="M247" s="8"/>
      <c r="N247" s="8"/>
      <c r="O247" s="8"/>
      <c r="P247" s="8"/>
      <c r="Q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13"/>
      <c r="K248" s="10"/>
      <c r="L248" s="8"/>
      <c r="M248" s="8"/>
      <c r="N248" s="8"/>
      <c r="O248" s="8"/>
      <c r="P248" s="8"/>
      <c r="Q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13"/>
      <c r="K249" s="10"/>
      <c r="L249" s="8"/>
      <c r="M249" s="8"/>
      <c r="N249" s="8"/>
      <c r="O249" s="8"/>
      <c r="P249" s="8"/>
      <c r="Q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13"/>
      <c r="K250" s="10"/>
      <c r="L250" s="8"/>
      <c r="M250" s="8"/>
      <c r="N250" s="8"/>
      <c r="O250" s="8"/>
      <c r="P250" s="8"/>
      <c r="Q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13"/>
      <c r="K251" s="10"/>
      <c r="L251" s="8"/>
      <c r="M251" s="8"/>
      <c r="N251" s="8"/>
      <c r="O251" s="8"/>
      <c r="P251" s="8"/>
      <c r="Q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13"/>
      <c r="K252" s="10"/>
      <c r="L252" s="8"/>
      <c r="M252" s="8"/>
      <c r="N252" s="8"/>
      <c r="O252" s="8"/>
      <c r="P252" s="8"/>
      <c r="Q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13"/>
      <c r="K253" s="10"/>
      <c r="L253" s="8"/>
      <c r="M253" s="8"/>
      <c r="N253" s="8"/>
      <c r="O253" s="8"/>
      <c r="P253" s="8"/>
      <c r="Q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13"/>
      <c r="K254" s="10"/>
      <c r="L254" s="8"/>
      <c r="M254" s="8"/>
      <c r="N254" s="8"/>
      <c r="O254" s="8"/>
      <c r="P254" s="8"/>
      <c r="Q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13"/>
      <c r="K255" s="10"/>
      <c r="L255" s="8"/>
      <c r="M255" s="8"/>
      <c r="N255" s="8"/>
      <c r="O255" s="8"/>
      <c r="P255" s="8"/>
      <c r="Q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13"/>
      <c r="K256" s="10"/>
      <c r="L256" s="8"/>
      <c r="M256" s="8"/>
      <c r="N256" s="8"/>
      <c r="O256" s="8"/>
      <c r="P256" s="8"/>
      <c r="Q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13"/>
      <c r="K257" s="10"/>
      <c r="L257" s="8"/>
      <c r="M257" s="8"/>
      <c r="N257" s="8"/>
      <c r="O257" s="8"/>
      <c r="P257" s="8"/>
      <c r="Q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13"/>
      <c r="K258" s="10"/>
      <c r="L258" s="8"/>
      <c r="M258" s="8"/>
      <c r="N258" s="8"/>
      <c r="O258" s="8"/>
      <c r="P258" s="8"/>
      <c r="Q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13"/>
      <c r="K259" s="10"/>
      <c r="L259" s="8"/>
      <c r="M259" s="8"/>
      <c r="N259" s="8"/>
      <c r="O259" s="8"/>
      <c r="P259" s="8"/>
      <c r="Q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13"/>
      <c r="K260" s="10"/>
      <c r="L260" s="8"/>
      <c r="M260" s="8"/>
      <c r="N260" s="8"/>
      <c r="O260" s="8"/>
      <c r="P260" s="8"/>
      <c r="Q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13"/>
      <c r="K261" s="10"/>
      <c r="L261" s="8"/>
      <c r="M261" s="8"/>
      <c r="N261" s="8"/>
      <c r="O261" s="8"/>
      <c r="P261" s="8"/>
      <c r="Q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13"/>
      <c r="K262" s="10"/>
      <c r="L262" s="8"/>
      <c r="M262" s="8"/>
      <c r="N262" s="8"/>
      <c r="O262" s="8"/>
      <c r="P262" s="8"/>
      <c r="Q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13"/>
      <c r="K263" s="10"/>
      <c r="L263" s="8"/>
      <c r="M263" s="8"/>
      <c r="N263" s="8"/>
      <c r="O263" s="8"/>
      <c r="P263" s="8"/>
      <c r="Q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13"/>
      <c r="K264" s="10"/>
      <c r="L264" s="8"/>
      <c r="M264" s="8"/>
      <c r="N264" s="8"/>
      <c r="O264" s="8"/>
      <c r="P264" s="8"/>
      <c r="Q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13"/>
      <c r="K265" s="10"/>
      <c r="L265" s="8"/>
      <c r="M265" s="8"/>
      <c r="N265" s="8"/>
      <c r="O265" s="8"/>
      <c r="P265" s="8"/>
      <c r="Q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13"/>
      <c r="K266" s="10"/>
      <c r="L266" s="8"/>
      <c r="M266" s="8"/>
      <c r="N266" s="8"/>
      <c r="O266" s="8"/>
      <c r="P266" s="8"/>
      <c r="Q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13"/>
      <c r="K267" s="10"/>
      <c r="L267" s="8"/>
      <c r="M267" s="8"/>
      <c r="N267" s="8"/>
      <c r="O267" s="8"/>
      <c r="P267" s="8"/>
      <c r="Q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13"/>
      <c r="K268" s="10"/>
      <c r="L268" s="8"/>
      <c r="M268" s="8"/>
      <c r="N268" s="8"/>
      <c r="O268" s="8"/>
      <c r="P268" s="8"/>
      <c r="Q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13"/>
      <c r="K269" s="10"/>
      <c r="L269" s="8"/>
      <c r="M269" s="8"/>
      <c r="N269" s="8"/>
      <c r="O269" s="8"/>
      <c r="P269" s="8"/>
      <c r="Q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13"/>
      <c r="K270" s="10"/>
      <c r="L270" s="8"/>
      <c r="M270" s="8"/>
      <c r="N270" s="8"/>
      <c r="O270" s="8"/>
      <c r="P270" s="8"/>
      <c r="Q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13"/>
      <c r="K271" s="10"/>
      <c r="L271" s="8"/>
      <c r="M271" s="8"/>
      <c r="N271" s="8"/>
      <c r="O271" s="8"/>
      <c r="P271" s="8"/>
      <c r="Q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13"/>
      <c r="K272" s="10"/>
      <c r="L272" s="8"/>
      <c r="M272" s="8"/>
      <c r="N272" s="8"/>
      <c r="O272" s="8"/>
      <c r="P272" s="8"/>
      <c r="Q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13"/>
      <c r="K273" s="10"/>
      <c r="L273" s="8"/>
      <c r="M273" s="8"/>
      <c r="N273" s="8"/>
      <c r="O273" s="8"/>
      <c r="P273" s="8"/>
      <c r="Q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13"/>
      <c r="K274" s="10"/>
      <c r="L274" s="8"/>
      <c r="M274" s="8"/>
      <c r="N274" s="8"/>
      <c r="O274" s="8"/>
      <c r="P274" s="8"/>
      <c r="Q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13"/>
      <c r="K275" s="10"/>
      <c r="L275" s="8"/>
      <c r="M275" s="8"/>
      <c r="N275" s="8"/>
      <c r="O275" s="8"/>
      <c r="P275" s="8"/>
      <c r="Q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13"/>
      <c r="K276" s="10"/>
      <c r="L276" s="8"/>
      <c r="M276" s="8"/>
      <c r="N276" s="8"/>
      <c r="O276" s="8"/>
      <c r="P276" s="8"/>
      <c r="Q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13"/>
      <c r="K277" s="10"/>
      <c r="L277" s="8"/>
      <c r="M277" s="8"/>
      <c r="N277" s="8"/>
      <c r="O277" s="8"/>
      <c r="P277" s="8"/>
      <c r="Q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13"/>
      <c r="K278" s="10"/>
      <c r="L278" s="8"/>
      <c r="M278" s="8"/>
      <c r="N278" s="8"/>
      <c r="O278" s="8"/>
      <c r="P278" s="8"/>
      <c r="Q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13"/>
      <c r="K279" s="10"/>
      <c r="L279" s="8"/>
      <c r="M279" s="8"/>
      <c r="N279" s="8"/>
      <c r="O279" s="8"/>
      <c r="P279" s="8"/>
      <c r="Q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13"/>
      <c r="K280" s="10"/>
      <c r="L280" s="8"/>
      <c r="M280" s="8"/>
      <c r="N280" s="8"/>
      <c r="O280" s="8"/>
      <c r="P280" s="8"/>
      <c r="Q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13"/>
      <c r="K281" s="10"/>
      <c r="L281" s="8"/>
      <c r="M281" s="8"/>
      <c r="N281" s="8"/>
      <c r="O281" s="8"/>
      <c r="P281" s="8"/>
      <c r="Q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13"/>
      <c r="K282" s="10"/>
      <c r="L282" s="8"/>
      <c r="M282" s="8"/>
      <c r="N282" s="8"/>
      <c r="O282" s="8"/>
      <c r="P282" s="8"/>
      <c r="Q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13"/>
      <c r="K283" s="10"/>
      <c r="L283" s="8"/>
      <c r="M283" s="8"/>
      <c r="N283" s="8"/>
      <c r="O283" s="8"/>
      <c r="P283" s="8"/>
      <c r="Q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13"/>
      <c r="K284" s="10"/>
      <c r="L284" s="8"/>
      <c r="M284" s="8"/>
      <c r="N284" s="8"/>
      <c r="O284" s="8"/>
      <c r="P284" s="8"/>
      <c r="Q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13"/>
      <c r="K285" s="10"/>
      <c r="L285" s="8"/>
      <c r="M285" s="8"/>
      <c r="N285" s="8"/>
      <c r="O285" s="8"/>
      <c r="P285" s="8"/>
      <c r="Q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13"/>
      <c r="K286" s="10"/>
      <c r="L286" s="8"/>
      <c r="M286" s="8"/>
      <c r="N286" s="8"/>
      <c r="O286" s="8"/>
      <c r="P286" s="8"/>
      <c r="Q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13"/>
      <c r="K287" s="10"/>
      <c r="L287" s="8"/>
      <c r="M287" s="8"/>
      <c r="N287" s="8"/>
      <c r="O287" s="8"/>
      <c r="P287" s="8"/>
      <c r="Q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13"/>
      <c r="K288" s="10"/>
      <c r="L288" s="8"/>
      <c r="M288" s="8"/>
      <c r="N288" s="8"/>
      <c r="O288" s="8"/>
      <c r="P288" s="8"/>
      <c r="Q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13"/>
      <c r="K289" s="10"/>
      <c r="L289" s="8"/>
      <c r="M289" s="8"/>
      <c r="N289" s="8"/>
      <c r="O289" s="8"/>
      <c r="P289" s="8"/>
      <c r="Q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13"/>
      <c r="K290" s="10"/>
      <c r="L290" s="8"/>
      <c r="M290" s="8"/>
      <c r="N290" s="8"/>
      <c r="O290" s="8"/>
      <c r="P290" s="8"/>
      <c r="Q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13"/>
      <c r="K291" s="10"/>
      <c r="L291" s="8"/>
      <c r="M291" s="8"/>
      <c r="N291" s="8"/>
      <c r="O291" s="8"/>
      <c r="P291" s="8"/>
      <c r="Q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13"/>
      <c r="K292" s="10"/>
      <c r="L292" s="8"/>
      <c r="M292" s="8"/>
      <c r="N292" s="8"/>
      <c r="O292" s="8"/>
      <c r="P292" s="8"/>
      <c r="Q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13"/>
      <c r="K293" s="10"/>
      <c r="L293" s="8"/>
      <c r="M293" s="8"/>
      <c r="N293" s="8"/>
      <c r="O293" s="8"/>
      <c r="P293" s="8"/>
      <c r="Q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13"/>
      <c r="K294" s="10"/>
      <c r="L294" s="8"/>
      <c r="M294" s="8"/>
      <c r="N294" s="8"/>
      <c r="O294" s="8"/>
      <c r="P294" s="8"/>
      <c r="Q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13"/>
      <c r="K295" s="10"/>
      <c r="L295" s="8"/>
      <c r="M295" s="8"/>
      <c r="N295" s="8"/>
      <c r="O295" s="8"/>
      <c r="P295" s="8"/>
      <c r="Q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13"/>
      <c r="K296" s="10"/>
      <c r="L296" s="8"/>
      <c r="M296" s="8"/>
      <c r="N296" s="8"/>
      <c r="O296" s="8"/>
      <c r="P296" s="8"/>
      <c r="Q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13"/>
      <c r="K297" s="10"/>
      <c r="L297" s="8"/>
      <c r="M297" s="8"/>
      <c r="N297" s="8"/>
      <c r="O297" s="8"/>
      <c r="P297" s="8"/>
      <c r="Q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13"/>
      <c r="K298" s="10"/>
      <c r="L298" s="8"/>
      <c r="M298" s="8"/>
      <c r="N298" s="8"/>
      <c r="O298" s="8"/>
      <c r="P298" s="8"/>
      <c r="Q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13"/>
      <c r="K299" s="10"/>
      <c r="L299" s="8"/>
      <c r="M299" s="8"/>
      <c r="N299" s="8"/>
      <c r="O299" s="8"/>
      <c r="P299" s="8"/>
      <c r="Q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13"/>
      <c r="K300" s="10"/>
      <c r="L300" s="8"/>
      <c r="M300" s="8"/>
      <c r="N300" s="8"/>
      <c r="O300" s="8"/>
      <c r="P300" s="8"/>
      <c r="Q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13"/>
      <c r="K301" s="10"/>
      <c r="L301" s="8"/>
      <c r="M301" s="8"/>
      <c r="N301" s="8"/>
      <c r="O301" s="8"/>
      <c r="P301" s="8"/>
      <c r="Q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13"/>
      <c r="K302" s="10"/>
      <c r="L302" s="8"/>
      <c r="M302" s="8"/>
      <c r="N302" s="8"/>
      <c r="O302" s="8"/>
      <c r="P302" s="8"/>
      <c r="Q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13"/>
      <c r="K303" s="10"/>
      <c r="L303" s="8"/>
      <c r="M303" s="8"/>
      <c r="N303" s="8"/>
      <c r="O303" s="8"/>
      <c r="P303" s="8"/>
      <c r="Q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13"/>
      <c r="K304" s="10"/>
      <c r="L304" s="8"/>
      <c r="M304" s="8"/>
      <c r="N304" s="8"/>
      <c r="O304" s="8"/>
      <c r="P304" s="8"/>
      <c r="Q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13"/>
      <c r="K305" s="10"/>
      <c r="L305" s="8"/>
      <c r="M305" s="8"/>
      <c r="N305" s="8"/>
      <c r="O305" s="8"/>
      <c r="P305" s="8"/>
      <c r="Q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13"/>
      <c r="K306" s="10"/>
      <c r="L306" s="8"/>
      <c r="M306" s="8"/>
      <c r="N306" s="8"/>
      <c r="O306" s="8"/>
      <c r="P306" s="8"/>
      <c r="Q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13"/>
      <c r="K307" s="10"/>
      <c r="L307" s="8"/>
      <c r="M307" s="8"/>
      <c r="N307" s="8"/>
      <c r="O307" s="8"/>
      <c r="P307" s="8"/>
      <c r="Q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13"/>
      <c r="K308" s="10"/>
      <c r="L308" s="8"/>
      <c r="M308" s="8"/>
      <c r="N308" s="8"/>
      <c r="O308" s="8"/>
      <c r="P308" s="8"/>
      <c r="Q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13"/>
      <c r="K309" s="10"/>
      <c r="L309" s="8"/>
      <c r="M309" s="8"/>
      <c r="N309" s="8"/>
      <c r="O309" s="8"/>
      <c r="P309" s="8"/>
      <c r="Q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13"/>
      <c r="K310" s="10"/>
      <c r="L310" s="8"/>
      <c r="M310" s="8"/>
      <c r="N310" s="8"/>
      <c r="O310" s="8"/>
      <c r="P310" s="8"/>
      <c r="Q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13"/>
      <c r="K311" s="10"/>
      <c r="L311" s="8"/>
      <c r="M311" s="8"/>
      <c r="N311" s="8"/>
      <c r="O311" s="8"/>
      <c r="P311" s="8"/>
      <c r="Q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13"/>
      <c r="K312" s="10"/>
      <c r="L312" s="8"/>
      <c r="M312" s="8"/>
      <c r="N312" s="8"/>
      <c r="O312" s="8"/>
      <c r="P312" s="8"/>
      <c r="Q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13"/>
      <c r="K313" s="10"/>
      <c r="L313" s="8"/>
      <c r="M313" s="8"/>
      <c r="N313" s="8"/>
      <c r="O313" s="8"/>
      <c r="P313" s="8"/>
      <c r="Q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13"/>
      <c r="K314" s="10"/>
      <c r="L314" s="8"/>
      <c r="M314" s="8"/>
      <c r="N314" s="8"/>
      <c r="O314" s="8"/>
      <c r="P314" s="8"/>
      <c r="Q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13"/>
      <c r="K315" s="10"/>
      <c r="L315" s="8"/>
      <c r="M315" s="8"/>
      <c r="N315" s="8"/>
      <c r="O315" s="8"/>
      <c r="P315" s="8"/>
      <c r="Q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13"/>
      <c r="K316" s="10"/>
      <c r="L316" s="8"/>
      <c r="M316" s="8"/>
      <c r="N316" s="8"/>
      <c r="O316" s="8"/>
      <c r="P316" s="8"/>
      <c r="Q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13"/>
      <c r="K317" s="10"/>
      <c r="L317" s="8"/>
      <c r="M317" s="8"/>
      <c r="N317" s="8"/>
      <c r="O317" s="8"/>
      <c r="P317" s="8"/>
      <c r="Q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13"/>
      <c r="K318" s="10"/>
      <c r="L318" s="8"/>
      <c r="M318" s="8"/>
      <c r="N318" s="8"/>
      <c r="O318" s="8"/>
      <c r="P318" s="8"/>
      <c r="Q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13"/>
      <c r="K319" s="10"/>
      <c r="L319" s="8"/>
      <c r="M319" s="8"/>
      <c r="N319" s="8"/>
      <c r="O319" s="8"/>
      <c r="P319" s="8"/>
      <c r="Q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13"/>
      <c r="K320" s="10"/>
      <c r="L320" s="8"/>
      <c r="M320" s="8"/>
      <c r="N320" s="8"/>
      <c r="O320" s="8"/>
      <c r="P320" s="8"/>
      <c r="Q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13"/>
      <c r="K321" s="10"/>
      <c r="L321" s="8"/>
      <c r="M321" s="8"/>
      <c r="N321" s="8"/>
      <c r="O321" s="8"/>
      <c r="P321" s="8"/>
      <c r="Q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13"/>
      <c r="K322" s="10"/>
      <c r="L322" s="8"/>
      <c r="M322" s="8"/>
      <c r="N322" s="8"/>
      <c r="O322" s="8"/>
      <c r="P322" s="8"/>
      <c r="Q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13"/>
      <c r="K323" s="10"/>
      <c r="L323" s="8"/>
      <c r="M323" s="8"/>
      <c r="N323" s="8"/>
      <c r="O323" s="8"/>
      <c r="P323" s="8"/>
      <c r="Q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13"/>
      <c r="K324" s="10"/>
      <c r="L324" s="8"/>
      <c r="M324" s="8"/>
      <c r="N324" s="8"/>
      <c r="O324" s="8"/>
      <c r="P324" s="8"/>
      <c r="Q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13"/>
      <c r="K325" s="10"/>
      <c r="L325" s="8"/>
      <c r="M325" s="8"/>
      <c r="N325" s="8"/>
      <c r="O325" s="8"/>
      <c r="P325" s="8"/>
      <c r="Q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13"/>
      <c r="K326" s="10"/>
      <c r="L326" s="8"/>
      <c r="M326" s="8"/>
      <c r="N326" s="8"/>
      <c r="O326" s="8"/>
      <c r="P326" s="8"/>
      <c r="Q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13"/>
      <c r="K327" s="10"/>
      <c r="L327" s="8"/>
      <c r="M327" s="8"/>
      <c r="N327" s="8"/>
      <c r="O327" s="8"/>
      <c r="P327" s="8"/>
      <c r="Q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13"/>
      <c r="K328" s="10"/>
      <c r="L328" s="8"/>
      <c r="M328" s="8"/>
      <c r="N328" s="8"/>
      <c r="O328" s="8"/>
      <c r="P328" s="8"/>
      <c r="Q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13"/>
      <c r="K329" s="10"/>
      <c r="L329" s="8"/>
      <c r="M329" s="8"/>
      <c r="N329" s="8"/>
      <c r="O329" s="8"/>
      <c r="P329" s="8"/>
      <c r="Q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13"/>
      <c r="K330" s="10"/>
      <c r="L330" s="8"/>
      <c r="M330" s="8"/>
      <c r="N330" s="8"/>
      <c r="O330" s="8"/>
      <c r="P330" s="8"/>
      <c r="Q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13"/>
      <c r="K331" s="10"/>
      <c r="L331" s="8"/>
      <c r="M331" s="8"/>
      <c r="N331" s="8"/>
      <c r="O331" s="8"/>
      <c r="P331" s="8"/>
      <c r="Q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13"/>
      <c r="K332" s="10"/>
      <c r="L332" s="8"/>
      <c r="M332" s="8"/>
      <c r="N332" s="8"/>
      <c r="O332" s="8"/>
      <c r="P332" s="8"/>
      <c r="Q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13"/>
      <c r="K333" s="10"/>
      <c r="L333" s="8"/>
      <c r="M333" s="8"/>
      <c r="N333" s="8"/>
      <c r="O333" s="8"/>
      <c r="P333" s="8"/>
      <c r="Q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13"/>
      <c r="K334" s="10"/>
      <c r="L334" s="8"/>
      <c r="M334" s="8"/>
      <c r="N334" s="8"/>
      <c r="O334" s="8"/>
      <c r="P334" s="8"/>
      <c r="Q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13"/>
      <c r="K335" s="10"/>
      <c r="L335" s="8"/>
      <c r="M335" s="8"/>
      <c r="N335" s="8"/>
      <c r="O335" s="8"/>
      <c r="P335" s="8"/>
      <c r="Q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13"/>
      <c r="K336" s="10"/>
      <c r="L336" s="8"/>
      <c r="M336" s="8"/>
      <c r="N336" s="8"/>
      <c r="O336" s="8"/>
      <c r="P336" s="8"/>
      <c r="Q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13"/>
      <c r="K337" s="10"/>
      <c r="L337" s="8"/>
      <c r="M337" s="8"/>
      <c r="N337" s="8"/>
      <c r="O337" s="8"/>
      <c r="P337" s="8"/>
      <c r="Q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13"/>
      <c r="K338" s="10"/>
      <c r="L338" s="8"/>
      <c r="M338" s="8"/>
      <c r="N338" s="8"/>
      <c r="O338" s="8"/>
      <c r="P338" s="8"/>
      <c r="Q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13"/>
      <c r="K339" s="10"/>
      <c r="L339" s="8"/>
      <c r="M339" s="8"/>
      <c r="N339" s="8"/>
      <c r="O339" s="8"/>
      <c r="P339" s="8"/>
      <c r="Q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13"/>
      <c r="K340" s="10"/>
      <c r="L340" s="8"/>
      <c r="M340" s="8"/>
      <c r="N340" s="8"/>
      <c r="O340" s="8"/>
      <c r="P340" s="8"/>
      <c r="Q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13"/>
      <c r="K341" s="10"/>
      <c r="L341" s="8"/>
      <c r="M341" s="8"/>
      <c r="N341" s="8"/>
      <c r="O341" s="8"/>
      <c r="P341" s="8"/>
      <c r="Q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13"/>
      <c r="K342" s="10"/>
      <c r="L342" s="8"/>
      <c r="M342" s="8"/>
      <c r="N342" s="8"/>
      <c r="O342" s="8"/>
      <c r="P342" s="8"/>
      <c r="Q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13"/>
      <c r="K343" s="10"/>
      <c r="L343" s="8"/>
      <c r="M343" s="8"/>
      <c r="N343" s="8"/>
      <c r="O343" s="8"/>
      <c r="P343" s="8"/>
      <c r="Q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13"/>
      <c r="K344" s="10"/>
      <c r="L344" s="8"/>
      <c r="M344" s="8"/>
      <c r="N344" s="8"/>
      <c r="O344" s="8"/>
      <c r="P344" s="8"/>
      <c r="Q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13"/>
      <c r="K345" s="10"/>
      <c r="L345" s="8"/>
      <c r="M345" s="8"/>
      <c r="N345" s="8"/>
      <c r="O345" s="8"/>
      <c r="P345" s="8"/>
      <c r="Q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13"/>
      <c r="K346" s="10"/>
      <c r="L346" s="8"/>
      <c r="M346" s="8"/>
      <c r="N346" s="8"/>
      <c r="O346" s="8"/>
      <c r="P346" s="8"/>
      <c r="Q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13"/>
      <c r="K347" s="10"/>
      <c r="L347" s="8"/>
      <c r="M347" s="8"/>
      <c r="N347" s="8"/>
      <c r="O347" s="8"/>
      <c r="P347" s="8"/>
      <c r="Q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13"/>
      <c r="K348" s="10"/>
      <c r="L348" s="8"/>
      <c r="M348" s="8"/>
      <c r="N348" s="8"/>
      <c r="O348" s="8"/>
      <c r="P348" s="8"/>
      <c r="Q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13"/>
      <c r="K349" s="10"/>
      <c r="L349" s="8"/>
      <c r="M349" s="8"/>
      <c r="N349" s="8"/>
      <c r="O349" s="8"/>
      <c r="P349" s="8"/>
      <c r="Q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13"/>
      <c r="K350" s="10"/>
      <c r="L350" s="8"/>
      <c r="M350" s="8"/>
      <c r="N350" s="8"/>
      <c r="O350" s="8"/>
      <c r="P350" s="8"/>
      <c r="Q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13"/>
      <c r="K351" s="10"/>
      <c r="L351" s="8"/>
      <c r="M351" s="8"/>
      <c r="N351" s="8"/>
      <c r="O351" s="8"/>
      <c r="P351" s="8"/>
      <c r="Q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13"/>
      <c r="K352" s="10"/>
      <c r="L352" s="8"/>
      <c r="M352" s="8"/>
      <c r="N352" s="8"/>
      <c r="O352" s="8"/>
      <c r="P352" s="8"/>
      <c r="Q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13"/>
      <c r="K353" s="10"/>
      <c r="L353" s="8"/>
      <c r="M353" s="8"/>
      <c r="N353" s="8"/>
      <c r="O353" s="8"/>
      <c r="P353" s="8"/>
      <c r="Q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13"/>
      <c r="K354" s="10"/>
      <c r="L354" s="8"/>
      <c r="M354" s="8"/>
      <c r="N354" s="8"/>
      <c r="O354" s="8"/>
      <c r="P354" s="8"/>
      <c r="Q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13"/>
      <c r="K355" s="10"/>
      <c r="L355" s="8"/>
      <c r="M355" s="8"/>
      <c r="N355" s="8"/>
      <c r="O355" s="8"/>
      <c r="P355" s="8"/>
      <c r="Q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13"/>
      <c r="K356" s="10"/>
      <c r="L356" s="8"/>
      <c r="M356" s="8"/>
      <c r="N356" s="8"/>
      <c r="O356" s="8"/>
      <c r="P356" s="8"/>
      <c r="Q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13"/>
      <c r="K357" s="10"/>
      <c r="L357" s="8"/>
      <c r="M357" s="8"/>
      <c r="N357" s="8"/>
      <c r="O357" s="8"/>
      <c r="P357" s="8"/>
      <c r="Q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13"/>
      <c r="K358" s="10"/>
      <c r="L358" s="8"/>
      <c r="M358" s="8"/>
      <c r="N358" s="8"/>
      <c r="O358" s="8"/>
      <c r="P358" s="8"/>
      <c r="Q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13"/>
      <c r="K359" s="10"/>
      <c r="L359" s="8"/>
      <c r="M359" s="8"/>
      <c r="N359" s="8"/>
      <c r="O359" s="8"/>
      <c r="P359" s="8"/>
      <c r="Q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13"/>
      <c r="K360" s="10"/>
      <c r="L360" s="8"/>
      <c r="M360" s="8"/>
      <c r="N360" s="8"/>
      <c r="O360" s="8"/>
      <c r="P360" s="8"/>
      <c r="Q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13"/>
      <c r="K361" s="10"/>
      <c r="L361" s="8"/>
      <c r="M361" s="8"/>
      <c r="N361" s="8"/>
      <c r="O361" s="8"/>
      <c r="P361" s="8"/>
      <c r="Q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13"/>
      <c r="K362" s="10"/>
      <c r="L362" s="8"/>
      <c r="M362" s="8"/>
      <c r="N362" s="8"/>
      <c r="O362" s="8"/>
      <c r="P362" s="8"/>
      <c r="Q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13"/>
      <c r="K363" s="10"/>
      <c r="L363" s="8"/>
      <c r="M363" s="8"/>
      <c r="N363" s="8"/>
      <c r="O363" s="8"/>
      <c r="P363" s="8"/>
      <c r="Q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13"/>
      <c r="K364" s="10"/>
      <c r="L364" s="8"/>
      <c r="M364" s="8"/>
      <c r="N364" s="8"/>
      <c r="O364" s="8"/>
      <c r="P364" s="8"/>
      <c r="Q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13"/>
      <c r="K365" s="10"/>
      <c r="L365" s="8"/>
      <c r="M365" s="8"/>
      <c r="N365" s="8"/>
      <c r="O365" s="8"/>
      <c r="P365" s="8"/>
      <c r="Q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13"/>
      <c r="K366" s="10"/>
      <c r="L366" s="8"/>
      <c r="M366" s="8"/>
      <c r="N366" s="8"/>
      <c r="O366" s="8"/>
      <c r="P366" s="8"/>
      <c r="Q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13"/>
      <c r="K367" s="10"/>
      <c r="L367" s="8"/>
      <c r="M367" s="8"/>
      <c r="N367" s="8"/>
      <c r="O367" s="8"/>
      <c r="P367" s="8"/>
      <c r="Q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13"/>
      <c r="K368" s="10"/>
      <c r="L368" s="8"/>
      <c r="M368" s="8"/>
      <c r="N368" s="8"/>
      <c r="O368" s="8"/>
      <c r="P368" s="8"/>
      <c r="Q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13"/>
      <c r="K369" s="10"/>
      <c r="L369" s="8"/>
      <c r="M369" s="8"/>
      <c r="N369" s="8"/>
      <c r="O369" s="8"/>
      <c r="P369" s="8"/>
      <c r="Q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13"/>
      <c r="K370" s="10"/>
      <c r="L370" s="8"/>
      <c r="M370" s="8"/>
      <c r="N370" s="8"/>
      <c r="O370" s="8"/>
      <c r="P370" s="8"/>
      <c r="Q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13"/>
      <c r="K371" s="10"/>
      <c r="L371" s="8"/>
      <c r="M371" s="8"/>
      <c r="N371" s="8"/>
      <c r="O371" s="8"/>
      <c r="P371" s="8"/>
      <c r="Q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13"/>
      <c r="K372" s="10"/>
      <c r="L372" s="8"/>
      <c r="M372" s="8"/>
      <c r="N372" s="8"/>
      <c r="O372" s="8"/>
      <c r="P372" s="8"/>
      <c r="Q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13"/>
      <c r="K373" s="10"/>
      <c r="L373" s="8"/>
      <c r="M373" s="8"/>
      <c r="N373" s="8"/>
      <c r="O373" s="8"/>
      <c r="P373" s="8"/>
      <c r="Q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13"/>
      <c r="K374" s="10"/>
      <c r="L374" s="8"/>
      <c r="M374" s="8"/>
      <c r="N374" s="8"/>
      <c r="O374" s="8"/>
      <c r="P374" s="8"/>
      <c r="Q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13"/>
      <c r="K375" s="10"/>
      <c r="L375" s="8"/>
      <c r="M375" s="8"/>
      <c r="N375" s="8"/>
      <c r="O375" s="8"/>
      <c r="P375" s="8"/>
      <c r="Q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13"/>
      <c r="K376" s="10"/>
      <c r="L376" s="8"/>
      <c r="M376" s="8"/>
      <c r="N376" s="8"/>
      <c r="O376" s="8"/>
      <c r="P376" s="8"/>
      <c r="Q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13"/>
      <c r="K377" s="10"/>
      <c r="L377" s="8"/>
      <c r="M377" s="8"/>
      <c r="N377" s="8"/>
      <c r="O377" s="8"/>
      <c r="P377" s="8"/>
      <c r="Q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13"/>
      <c r="K378" s="10"/>
      <c r="L378" s="8"/>
      <c r="M378" s="8"/>
      <c r="N378" s="8"/>
      <c r="O378" s="8"/>
      <c r="P378" s="8"/>
      <c r="Q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13"/>
      <c r="K379" s="10"/>
      <c r="L379" s="8"/>
      <c r="M379" s="8"/>
      <c r="N379" s="8"/>
      <c r="O379" s="8"/>
      <c r="P379" s="8"/>
      <c r="Q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13"/>
      <c r="K380" s="10"/>
      <c r="L380" s="8"/>
      <c r="M380" s="8"/>
      <c r="N380" s="8"/>
      <c r="O380" s="8"/>
      <c r="P380" s="8"/>
      <c r="Q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13"/>
      <c r="K381" s="10"/>
      <c r="L381" s="8"/>
      <c r="M381" s="8"/>
      <c r="N381" s="8"/>
      <c r="O381" s="8"/>
      <c r="P381" s="8"/>
      <c r="Q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13"/>
      <c r="K382" s="10"/>
      <c r="L382" s="8"/>
      <c r="M382" s="8"/>
      <c r="N382" s="8"/>
      <c r="O382" s="8"/>
      <c r="P382" s="8"/>
      <c r="Q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13"/>
      <c r="K383" s="10"/>
      <c r="L383" s="8"/>
      <c r="M383" s="8"/>
      <c r="N383" s="8"/>
      <c r="O383" s="8"/>
      <c r="P383" s="8"/>
      <c r="Q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13"/>
      <c r="K384" s="10"/>
      <c r="L384" s="8"/>
      <c r="M384" s="8"/>
      <c r="N384" s="8"/>
      <c r="O384" s="8"/>
      <c r="P384" s="8"/>
      <c r="Q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13"/>
      <c r="K385" s="10"/>
      <c r="L385" s="8"/>
      <c r="M385" s="8"/>
      <c r="N385" s="8"/>
      <c r="O385" s="8"/>
      <c r="P385" s="8"/>
      <c r="Q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13"/>
      <c r="K386" s="10"/>
      <c r="L386" s="8"/>
      <c r="M386" s="8"/>
      <c r="N386" s="8"/>
      <c r="O386" s="8"/>
      <c r="P386" s="8"/>
      <c r="Q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13"/>
      <c r="K387" s="10"/>
      <c r="L387" s="8"/>
      <c r="M387" s="8"/>
      <c r="N387" s="8"/>
      <c r="O387" s="8"/>
      <c r="P387" s="8"/>
      <c r="Q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13"/>
      <c r="K388" s="10"/>
      <c r="L388" s="8"/>
      <c r="M388" s="8"/>
      <c r="N388" s="8"/>
      <c r="O388" s="8"/>
      <c r="P388" s="8"/>
      <c r="Q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13"/>
      <c r="K389" s="10"/>
      <c r="L389" s="8"/>
      <c r="M389" s="8"/>
      <c r="N389" s="8"/>
      <c r="O389" s="8"/>
      <c r="P389" s="8"/>
      <c r="Q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13"/>
      <c r="K390" s="10"/>
      <c r="L390" s="8"/>
      <c r="M390" s="8"/>
      <c r="N390" s="8"/>
      <c r="O390" s="8"/>
      <c r="P390" s="8"/>
      <c r="Q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13"/>
      <c r="K391" s="10"/>
      <c r="L391" s="8"/>
      <c r="M391" s="8"/>
      <c r="N391" s="8"/>
      <c r="O391" s="8"/>
      <c r="P391" s="8"/>
      <c r="Q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13"/>
      <c r="K392" s="10"/>
      <c r="L392" s="8"/>
      <c r="M392" s="8"/>
      <c r="N392" s="8"/>
      <c r="O392" s="8"/>
      <c r="P392" s="8"/>
      <c r="Q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13"/>
      <c r="K393" s="10"/>
      <c r="L393" s="8"/>
      <c r="M393" s="8"/>
      <c r="N393" s="8"/>
      <c r="O393" s="8"/>
      <c r="P393" s="8"/>
      <c r="Q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13"/>
      <c r="K394" s="10"/>
      <c r="L394" s="8"/>
      <c r="M394" s="8"/>
      <c r="N394" s="8"/>
      <c r="O394" s="8"/>
      <c r="P394" s="8"/>
      <c r="Q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13"/>
      <c r="K395" s="10"/>
      <c r="L395" s="8"/>
      <c r="M395" s="8"/>
      <c r="N395" s="8"/>
      <c r="O395" s="8"/>
      <c r="P395" s="8"/>
      <c r="Q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13"/>
      <c r="K396" s="10"/>
      <c r="L396" s="8"/>
      <c r="M396" s="8"/>
      <c r="N396" s="8"/>
      <c r="O396" s="8"/>
      <c r="P396" s="8"/>
      <c r="Q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13"/>
      <c r="K397" s="10"/>
      <c r="L397" s="8"/>
      <c r="M397" s="8"/>
      <c r="N397" s="8"/>
      <c r="O397" s="8"/>
      <c r="P397" s="8"/>
      <c r="Q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13"/>
      <c r="K398" s="10"/>
      <c r="L398" s="8"/>
      <c r="M398" s="8"/>
      <c r="N398" s="8"/>
      <c r="O398" s="8"/>
      <c r="P398" s="8"/>
      <c r="Q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13"/>
      <c r="K399" s="10"/>
      <c r="L399" s="8"/>
      <c r="M399" s="8"/>
      <c r="N399" s="8"/>
      <c r="O399" s="8"/>
      <c r="P399" s="8"/>
      <c r="Q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13"/>
      <c r="K400" s="10"/>
      <c r="L400" s="8"/>
      <c r="M400" s="8"/>
      <c r="N400" s="8"/>
      <c r="O400" s="8"/>
      <c r="P400" s="8"/>
      <c r="Q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13"/>
      <c r="K401" s="10"/>
      <c r="L401" s="8"/>
      <c r="M401" s="8"/>
      <c r="N401" s="8"/>
      <c r="O401" s="8"/>
      <c r="P401" s="8"/>
      <c r="Q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13"/>
      <c r="K402" s="10"/>
      <c r="L402" s="8"/>
      <c r="M402" s="8"/>
      <c r="N402" s="8"/>
      <c r="O402" s="8"/>
      <c r="P402" s="8"/>
      <c r="Q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13"/>
      <c r="K403" s="10"/>
      <c r="L403" s="8"/>
      <c r="M403" s="8"/>
      <c r="N403" s="8"/>
      <c r="O403" s="8"/>
      <c r="P403" s="8"/>
      <c r="Q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13"/>
      <c r="K404" s="10"/>
      <c r="L404" s="8"/>
      <c r="M404" s="8"/>
      <c r="N404" s="8"/>
      <c r="O404" s="8"/>
      <c r="P404" s="8"/>
      <c r="Q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13"/>
      <c r="K405" s="10"/>
      <c r="L405" s="8"/>
      <c r="M405" s="8"/>
      <c r="N405" s="8"/>
      <c r="O405" s="8"/>
      <c r="P405" s="8"/>
      <c r="Q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13"/>
      <c r="K406" s="10"/>
      <c r="L406" s="8"/>
      <c r="M406" s="8"/>
      <c r="N406" s="8"/>
      <c r="O406" s="8"/>
      <c r="P406" s="8"/>
      <c r="Q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13"/>
      <c r="K407" s="10"/>
      <c r="L407" s="8"/>
      <c r="M407" s="8"/>
      <c r="N407" s="8"/>
      <c r="O407" s="8"/>
      <c r="P407" s="8"/>
      <c r="Q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13"/>
      <c r="K408" s="10"/>
      <c r="L408" s="8"/>
      <c r="M408" s="8"/>
      <c r="N408" s="8"/>
      <c r="O408" s="8"/>
      <c r="P408" s="8"/>
      <c r="Q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13"/>
      <c r="K409" s="10"/>
      <c r="L409" s="8"/>
      <c r="M409" s="8"/>
      <c r="N409" s="8"/>
      <c r="O409" s="8"/>
      <c r="P409" s="8"/>
      <c r="Q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13"/>
      <c r="K410" s="10"/>
      <c r="L410" s="8"/>
      <c r="M410" s="8"/>
      <c r="N410" s="8"/>
      <c r="O410" s="8"/>
      <c r="P410" s="8"/>
      <c r="Q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13"/>
      <c r="K411" s="10"/>
      <c r="L411" s="8"/>
      <c r="M411" s="8"/>
      <c r="N411" s="8"/>
      <c r="O411" s="8"/>
      <c r="P411" s="8"/>
      <c r="Q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13"/>
      <c r="K412" s="10"/>
      <c r="L412" s="8"/>
      <c r="M412" s="8"/>
      <c r="N412" s="8"/>
      <c r="O412" s="8"/>
      <c r="P412" s="8"/>
      <c r="Q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13"/>
      <c r="K413" s="10"/>
      <c r="L413" s="8"/>
      <c r="M413" s="8"/>
      <c r="N413" s="8"/>
      <c r="O413" s="8"/>
      <c r="P413" s="8"/>
      <c r="Q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13"/>
      <c r="K414" s="10"/>
      <c r="L414" s="8"/>
      <c r="M414" s="8"/>
      <c r="N414" s="8"/>
      <c r="O414" s="8"/>
      <c r="P414" s="8"/>
      <c r="Q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13"/>
      <c r="K415" s="10"/>
      <c r="L415" s="8"/>
      <c r="M415" s="8"/>
      <c r="N415" s="8"/>
      <c r="O415" s="8"/>
      <c r="P415" s="8"/>
      <c r="Q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13"/>
      <c r="K416" s="10"/>
      <c r="L416" s="8"/>
      <c r="M416" s="8"/>
      <c r="N416" s="8"/>
      <c r="O416" s="8"/>
      <c r="P416" s="8"/>
      <c r="Q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13"/>
      <c r="K417" s="10"/>
      <c r="L417" s="8"/>
      <c r="M417" s="8"/>
      <c r="N417" s="8"/>
      <c r="O417" s="8"/>
      <c r="P417" s="8"/>
      <c r="Q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13"/>
      <c r="K418" s="10"/>
      <c r="L418" s="8"/>
      <c r="M418" s="8"/>
      <c r="N418" s="8"/>
      <c r="O418" s="8"/>
      <c r="P418" s="8"/>
      <c r="Q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13"/>
      <c r="K419" s="10"/>
      <c r="L419" s="8"/>
      <c r="M419" s="8"/>
      <c r="N419" s="8"/>
      <c r="O419" s="8"/>
      <c r="P419" s="8"/>
      <c r="Q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13"/>
      <c r="K420" s="10"/>
      <c r="L420" s="8"/>
      <c r="M420" s="8"/>
      <c r="N420" s="8"/>
      <c r="O420" s="8"/>
      <c r="P420" s="8"/>
      <c r="Q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13"/>
      <c r="K421" s="10"/>
      <c r="L421" s="8"/>
      <c r="M421" s="8"/>
      <c r="N421" s="8"/>
      <c r="O421" s="8"/>
      <c r="P421" s="8"/>
      <c r="Q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13"/>
      <c r="K422" s="10"/>
      <c r="L422" s="8"/>
      <c r="M422" s="8"/>
      <c r="N422" s="8"/>
      <c r="O422" s="8"/>
      <c r="P422" s="8"/>
      <c r="Q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13"/>
      <c r="K423" s="10"/>
      <c r="L423" s="8"/>
      <c r="M423" s="8"/>
      <c r="N423" s="8"/>
      <c r="O423" s="8"/>
      <c r="P423" s="8"/>
      <c r="Q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13"/>
      <c r="K424" s="10"/>
      <c r="L424" s="8"/>
      <c r="M424" s="8"/>
      <c r="N424" s="8"/>
      <c r="O424" s="8"/>
      <c r="P424" s="8"/>
      <c r="Q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13"/>
      <c r="K425" s="10"/>
      <c r="L425" s="8"/>
      <c r="M425" s="8"/>
      <c r="N425" s="8"/>
      <c r="O425" s="8"/>
      <c r="P425" s="8"/>
      <c r="Q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13"/>
      <c r="K426" s="10"/>
      <c r="L426" s="8"/>
      <c r="M426" s="8"/>
      <c r="N426" s="8"/>
      <c r="O426" s="8"/>
      <c r="P426" s="8"/>
      <c r="Q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13"/>
      <c r="K427" s="10"/>
      <c r="L427" s="8"/>
      <c r="M427" s="8"/>
      <c r="N427" s="8"/>
      <c r="O427" s="8"/>
      <c r="P427" s="8"/>
      <c r="Q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13"/>
      <c r="K428" s="10"/>
      <c r="L428" s="8"/>
      <c r="M428" s="8"/>
      <c r="N428" s="8"/>
      <c r="O428" s="8"/>
      <c r="P428" s="8"/>
      <c r="Q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13"/>
      <c r="K429" s="10"/>
      <c r="L429" s="8"/>
      <c r="M429" s="8"/>
      <c r="N429" s="8"/>
      <c r="O429" s="8"/>
      <c r="P429" s="8"/>
      <c r="Q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13"/>
      <c r="K430" s="10"/>
      <c r="L430" s="8"/>
      <c r="M430" s="8"/>
      <c r="N430" s="8"/>
      <c r="O430" s="8"/>
      <c r="P430" s="8"/>
      <c r="Q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13"/>
      <c r="K431" s="10"/>
      <c r="L431" s="8"/>
      <c r="M431" s="8"/>
      <c r="N431" s="8"/>
      <c r="O431" s="8"/>
      <c r="P431" s="8"/>
      <c r="Q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13"/>
      <c r="K432" s="10"/>
      <c r="L432" s="8"/>
      <c r="M432" s="8"/>
      <c r="N432" s="8"/>
      <c r="O432" s="8"/>
      <c r="P432" s="8"/>
      <c r="Q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13"/>
      <c r="K433" s="10"/>
      <c r="L433" s="8"/>
      <c r="M433" s="8"/>
      <c r="N433" s="8"/>
      <c r="O433" s="8"/>
      <c r="P433" s="8"/>
      <c r="Q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13"/>
      <c r="K434" s="10"/>
      <c r="L434" s="8"/>
      <c r="M434" s="8"/>
      <c r="N434" s="8"/>
      <c r="O434" s="8"/>
      <c r="P434" s="8"/>
      <c r="Q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13"/>
      <c r="K435" s="10"/>
      <c r="L435" s="8"/>
      <c r="M435" s="8"/>
      <c r="N435" s="8"/>
      <c r="O435" s="8"/>
      <c r="P435" s="8"/>
      <c r="Q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13"/>
      <c r="K436" s="10"/>
      <c r="L436" s="8"/>
      <c r="M436" s="8"/>
      <c r="N436" s="8"/>
      <c r="O436" s="8"/>
      <c r="P436" s="8"/>
      <c r="Q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13"/>
      <c r="K437" s="10"/>
      <c r="L437" s="8"/>
      <c r="M437" s="8"/>
      <c r="N437" s="8"/>
      <c r="O437" s="8"/>
      <c r="P437" s="8"/>
      <c r="Q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13"/>
      <c r="K438" s="10"/>
      <c r="L438" s="8"/>
      <c r="M438" s="8"/>
      <c r="N438" s="8"/>
      <c r="O438" s="8"/>
      <c r="P438" s="8"/>
      <c r="Q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13"/>
      <c r="K439" s="10"/>
      <c r="L439" s="8"/>
      <c r="M439" s="8"/>
      <c r="N439" s="8"/>
      <c r="O439" s="8"/>
      <c r="P439" s="8"/>
      <c r="Q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13"/>
      <c r="K440" s="10"/>
      <c r="L440" s="8"/>
      <c r="M440" s="8"/>
      <c r="N440" s="8"/>
      <c r="O440" s="8"/>
      <c r="P440" s="8"/>
      <c r="Q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13"/>
      <c r="K441" s="10"/>
      <c r="L441" s="8"/>
      <c r="M441" s="8"/>
      <c r="N441" s="8"/>
      <c r="O441" s="8"/>
      <c r="P441" s="8"/>
      <c r="Q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13"/>
      <c r="K442" s="10"/>
      <c r="L442" s="8"/>
      <c r="M442" s="8"/>
      <c r="N442" s="8"/>
      <c r="O442" s="8"/>
      <c r="P442" s="8"/>
      <c r="Q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13"/>
      <c r="K443" s="10"/>
      <c r="L443" s="8"/>
      <c r="M443" s="8"/>
      <c r="N443" s="8"/>
      <c r="O443" s="8"/>
      <c r="P443" s="8"/>
      <c r="Q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13"/>
      <c r="K444" s="10"/>
      <c r="L444" s="8"/>
      <c r="M444" s="8"/>
      <c r="N444" s="8"/>
      <c r="O444" s="8"/>
      <c r="P444" s="8"/>
      <c r="Q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13"/>
      <c r="K445" s="10"/>
      <c r="L445" s="8"/>
      <c r="M445" s="8"/>
      <c r="N445" s="8"/>
      <c r="O445" s="8"/>
      <c r="P445" s="8"/>
      <c r="Q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13"/>
      <c r="K446" s="10"/>
      <c r="L446" s="8"/>
      <c r="M446" s="8"/>
      <c r="N446" s="8"/>
      <c r="O446" s="8"/>
      <c r="P446" s="8"/>
      <c r="Q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13"/>
      <c r="K447" s="10"/>
      <c r="L447" s="8"/>
      <c r="M447" s="8"/>
      <c r="N447" s="8"/>
      <c r="O447" s="8"/>
      <c r="P447" s="8"/>
      <c r="Q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13"/>
      <c r="K448" s="10"/>
      <c r="L448" s="8"/>
      <c r="M448" s="8"/>
      <c r="N448" s="8"/>
      <c r="O448" s="8"/>
      <c r="P448" s="8"/>
      <c r="Q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13"/>
      <c r="K449" s="10"/>
      <c r="L449" s="8"/>
      <c r="M449" s="8"/>
      <c r="N449" s="8"/>
      <c r="O449" s="8"/>
      <c r="P449" s="8"/>
      <c r="Q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13"/>
      <c r="K450" s="10"/>
      <c r="L450" s="8"/>
      <c r="M450" s="8"/>
      <c r="N450" s="8"/>
      <c r="O450" s="8"/>
      <c r="P450" s="8"/>
      <c r="Q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13"/>
      <c r="K451" s="10"/>
      <c r="L451" s="8"/>
      <c r="M451" s="8"/>
      <c r="N451" s="8"/>
      <c r="O451" s="8"/>
      <c r="P451" s="8"/>
      <c r="Q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13"/>
      <c r="K452" s="10"/>
      <c r="L452" s="8"/>
      <c r="M452" s="8"/>
      <c r="N452" s="8"/>
      <c r="O452" s="8"/>
      <c r="P452" s="8"/>
      <c r="Q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13"/>
      <c r="K453" s="10"/>
      <c r="L453" s="8"/>
      <c r="M453" s="8"/>
      <c r="N453" s="8"/>
      <c r="O453" s="8"/>
      <c r="P453" s="8"/>
      <c r="Q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13"/>
      <c r="K454" s="10"/>
      <c r="L454" s="8"/>
      <c r="M454" s="8"/>
      <c r="N454" s="8"/>
      <c r="O454" s="8"/>
      <c r="P454" s="8"/>
      <c r="Q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13"/>
      <c r="K455" s="10"/>
      <c r="L455" s="8"/>
      <c r="M455" s="8"/>
      <c r="N455" s="8"/>
      <c r="O455" s="8"/>
      <c r="P455" s="8"/>
      <c r="Q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13"/>
      <c r="K456" s="10"/>
      <c r="L456" s="8"/>
      <c r="M456" s="8"/>
      <c r="N456" s="8"/>
      <c r="O456" s="8"/>
      <c r="P456" s="8"/>
      <c r="Q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13"/>
      <c r="K457" s="10"/>
      <c r="L457" s="8"/>
      <c r="M457" s="8"/>
      <c r="N457" s="8"/>
      <c r="O457" s="8"/>
      <c r="P457" s="8"/>
      <c r="Q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13"/>
      <c r="K458" s="10"/>
      <c r="L458" s="8"/>
      <c r="M458" s="8"/>
      <c r="N458" s="8"/>
      <c r="O458" s="8"/>
      <c r="P458" s="8"/>
      <c r="Q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13"/>
      <c r="K459" s="10"/>
      <c r="L459" s="8"/>
      <c r="M459" s="8"/>
      <c r="N459" s="8"/>
      <c r="O459" s="8"/>
      <c r="P459" s="8"/>
      <c r="Q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13"/>
      <c r="K460" s="10"/>
      <c r="L460" s="8"/>
      <c r="M460" s="8"/>
      <c r="N460" s="8"/>
      <c r="O460" s="8"/>
      <c r="P460" s="8"/>
      <c r="Q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13"/>
      <c r="K461" s="10"/>
      <c r="L461" s="8"/>
      <c r="M461" s="8"/>
      <c r="N461" s="8"/>
      <c r="O461" s="8"/>
      <c r="P461" s="8"/>
      <c r="Q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13"/>
      <c r="K462" s="10"/>
      <c r="L462" s="8"/>
      <c r="M462" s="8"/>
      <c r="N462" s="8"/>
      <c r="O462" s="8"/>
      <c r="P462" s="8"/>
      <c r="Q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13"/>
      <c r="K463" s="10"/>
      <c r="L463" s="8"/>
      <c r="M463" s="8"/>
      <c r="N463" s="8"/>
      <c r="O463" s="8"/>
      <c r="P463" s="8"/>
      <c r="Q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13"/>
      <c r="K464" s="10"/>
      <c r="L464" s="8"/>
      <c r="M464" s="8"/>
      <c r="N464" s="8"/>
      <c r="O464" s="8"/>
      <c r="P464" s="8"/>
      <c r="Q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13"/>
      <c r="K465" s="10"/>
      <c r="L465" s="8"/>
      <c r="M465" s="8"/>
      <c r="N465" s="8"/>
      <c r="O465" s="8"/>
      <c r="P465" s="8"/>
      <c r="Q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13"/>
      <c r="K466" s="10"/>
      <c r="L466" s="8"/>
      <c r="M466" s="8"/>
      <c r="N466" s="8"/>
      <c r="O466" s="8"/>
      <c r="P466" s="8"/>
      <c r="Q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13"/>
      <c r="K467" s="10"/>
      <c r="L467" s="8"/>
      <c r="M467" s="8"/>
      <c r="N467" s="8"/>
      <c r="O467" s="8"/>
      <c r="P467" s="8"/>
      <c r="Q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13"/>
      <c r="K468" s="10"/>
      <c r="L468" s="8"/>
      <c r="M468" s="8"/>
      <c r="N468" s="8"/>
      <c r="O468" s="8"/>
      <c r="P468" s="8"/>
      <c r="Q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13"/>
      <c r="K469" s="10"/>
      <c r="L469" s="8"/>
      <c r="M469" s="8"/>
      <c r="N469" s="8"/>
      <c r="O469" s="8"/>
      <c r="P469" s="8"/>
      <c r="Q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13"/>
      <c r="K470" s="10"/>
      <c r="L470" s="8"/>
      <c r="M470" s="8"/>
      <c r="N470" s="8"/>
      <c r="O470" s="8"/>
      <c r="P470" s="8"/>
      <c r="Q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13"/>
      <c r="K471" s="10"/>
      <c r="L471" s="8"/>
      <c r="M471" s="8"/>
      <c r="N471" s="8"/>
      <c r="O471" s="8"/>
      <c r="P471" s="8"/>
      <c r="Q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13"/>
      <c r="K472" s="10"/>
      <c r="L472" s="8"/>
      <c r="M472" s="8"/>
      <c r="N472" s="8"/>
      <c r="O472" s="8"/>
      <c r="P472" s="8"/>
      <c r="Q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13"/>
      <c r="K473" s="10"/>
      <c r="L473" s="8"/>
      <c r="M473" s="8"/>
      <c r="N473" s="8"/>
      <c r="O473" s="8"/>
      <c r="P473" s="8"/>
      <c r="Q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13"/>
      <c r="K474" s="10"/>
      <c r="L474" s="8"/>
      <c r="M474" s="8"/>
      <c r="N474" s="8"/>
      <c r="O474" s="8"/>
      <c r="P474" s="8"/>
      <c r="Q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13"/>
      <c r="K475" s="10"/>
      <c r="L475" s="8"/>
      <c r="M475" s="8"/>
      <c r="N475" s="8"/>
      <c r="O475" s="8"/>
      <c r="P475" s="8"/>
      <c r="Q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13"/>
      <c r="K476" s="10"/>
      <c r="L476" s="8"/>
      <c r="M476" s="8"/>
      <c r="N476" s="8"/>
      <c r="O476" s="8"/>
      <c r="P476" s="8"/>
      <c r="Q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13"/>
      <c r="K477" s="10"/>
      <c r="L477" s="8"/>
      <c r="M477" s="8"/>
      <c r="N477" s="8"/>
      <c r="O477" s="8"/>
      <c r="P477" s="8"/>
      <c r="Q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13"/>
      <c r="K478" s="10"/>
      <c r="L478" s="8"/>
      <c r="M478" s="8"/>
      <c r="N478" s="8"/>
      <c r="O478" s="8"/>
      <c r="P478" s="8"/>
      <c r="Q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13"/>
      <c r="K479" s="10"/>
      <c r="L479" s="8"/>
      <c r="M479" s="8"/>
      <c r="N479" s="8"/>
      <c r="O479" s="8"/>
      <c r="P479" s="8"/>
      <c r="Q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13"/>
      <c r="K480" s="10"/>
      <c r="L480" s="8"/>
      <c r="M480" s="8"/>
      <c r="N480" s="8"/>
      <c r="O480" s="8"/>
      <c r="P480" s="8"/>
      <c r="Q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13"/>
      <c r="K481" s="10"/>
      <c r="L481" s="8"/>
      <c r="M481" s="8"/>
      <c r="N481" s="8"/>
      <c r="O481" s="8"/>
      <c r="P481" s="8"/>
      <c r="Q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13"/>
      <c r="K482" s="10"/>
      <c r="L482" s="8"/>
      <c r="M482" s="8"/>
      <c r="N482" s="8"/>
      <c r="O482" s="8"/>
      <c r="P482" s="8"/>
      <c r="Q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13"/>
      <c r="K483" s="10"/>
      <c r="L483" s="8"/>
      <c r="M483" s="8"/>
      <c r="N483" s="8"/>
      <c r="O483" s="8"/>
      <c r="P483" s="8"/>
      <c r="Q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13"/>
      <c r="K484" s="10"/>
      <c r="L484" s="8"/>
      <c r="M484" s="8"/>
      <c r="N484" s="8"/>
      <c r="O484" s="8"/>
      <c r="P484" s="8"/>
      <c r="Q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13"/>
      <c r="K485" s="10"/>
      <c r="L485" s="8"/>
      <c r="M485" s="8"/>
      <c r="N485" s="8"/>
      <c r="O485" s="8"/>
      <c r="P485" s="8"/>
      <c r="Q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13"/>
      <c r="K486" s="10"/>
      <c r="L486" s="8"/>
      <c r="M486" s="8"/>
      <c r="N486" s="8"/>
      <c r="O486" s="8"/>
      <c r="P486" s="8"/>
      <c r="Q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13"/>
      <c r="K487" s="10"/>
      <c r="L487" s="8"/>
      <c r="M487" s="8"/>
      <c r="N487" s="8"/>
      <c r="O487" s="8"/>
      <c r="P487" s="8"/>
      <c r="Q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13"/>
      <c r="K488" s="10"/>
      <c r="L488" s="8"/>
      <c r="M488" s="8"/>
      <c r="N488" s="8"/>
      <c r="O488" s="8"/>
      <c r="P488" s="8"/>
      <c r="Q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13"/>
      <c r="K489" s="10"/>
      <c r="L489" s="8"/>
      <c r="M489" s="8"/>
      <c r="N489" s="8"/>
      <c r="O489" s="8"/>
      <c r="P489" s="8"/>
      <c r="Q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13"/>
      <c r="K490" s="10"/>
      <c r="L490" s="8"/>
      <c r="M490" s="8"/>
      <c r="N490" s="8"/>
      <c r="O490" s="8"/>
      <c r="P490" s="8"/>
      <c r="Q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13"/>
      <c r="K491" s="10"/>
      <c r="L491" s="8"/>
      <c r="M491" s="8"/>
      <c r="N491" s="8"/>
      <c r="O491" s="8"/>
      <c r="P491" s="8"/>
      <c r="Q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13"/>
      <c r="K492" s="10"/>
      <c r="L492" s="8"/>
      <c r="M492" s="8"/>
      <c r="N492" s="8"/>
      <c r="O492" s="8"/>
      <c r="P492" s="8"/>
      <c r="Q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13"/>
      <c r="K493" s="10"/>
      <c r="L493" s="8"/>
      <c r="M493" s="8"/>
      <c r="N493" s="8"/>
      <c r="O493" s="8"/>
      <c r="P493" s="8"/>
      <c r="Q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13"/>
      <c r="K494" s="10"/>
      <c r="L494" s="8"/>
      <c r="M494" s="8"/>
      <c r="N494" s="8"/>
      <c r="O494" s="8"/>
      <c r="P494" s="8"/>
      <c r="Q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13"/>
      <c r="K495" s="10"/>
      <c r="L495" s="8"/>
      <c r="M495" s="8"/>
      <c r="N495" s="8"/>
      <c r="O495" s="8"/>
      <c r="P495" s="8"/>
      <c r="Q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13"/>
      <c r="K496" s="10"/>
      <c r="L496" s="8"/>
      <c r="M496" s="8"/>
      <c r="N496" s="8"/>
      <c r="O496" s="8"/>
      <c r="P496" s="8"/>
      <c r="Q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13"/>
      <c r="K497" s="10"/>
      <c r="L497" s="8"/>
      <c r="M497" s="8"/>
      <c r="N497" s="8"/>
      <c r="O497" s="8"/>
      <c r="P497" s="8"/>
      <c r="Q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13"/>
      <c r="K498" s="10"/>
      <c r="L498" s="8"/>
      <c r="M498" s="8"/>
      <c r="N498" s="8"/>
      <c r="O498" s="8"/>
      <c r="P498" s="8"/>
      <c r="Q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13"/>
      <c r="K499" s="10"/>
      <c r="L499" s="8"/>
      <c r="M499" s="8"/>
      <c r="N499" s="8"/>
      <c r="O499" s="8"/>
      <c r="P499" s="8"/>
      <c r="Q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13"/>
      <c r="K500" s="10"/>
      <c r="L500" s="8"/>
      <c r="M500" s="8"/>
      <c r="N500" s="8"/>
      <c r="O500" s="8"/>
      <c r="P500" s="8"/>
      <c r="Q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13"/>
      <c r="K501" s="10"/>
      <c r="L501" s="8"/>
      <c r="M501" s="8"/>
      <c r="N501" s="8"/>
      <c r="O501" s="8"/>
      <c r="P501" s="8"/>
      <c r="Q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13"/>
      <c r="K502" s="10"/>
      <c r="L502" s="8"/>
      <c r="M502" s="8"/>
      <c r="N502" s="8"/>
      <c r="O502" s="8"/>
      <c r="P502" s="8"/>
      <c r="Q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13"/>
      <c r="K503" s="10"/>
      <c r="L503" s="8"/>
      <c r="M503" s="8"/>
      <c r="N503" s="8"/>
      <c r="O503" s="8"/>
      <c r="P503" s="8"/>
      <c r="Q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13"/>
      <c r="K504" s="10"/>
      <c r="L504" s="8"/>
      <c r="M504" s="8"/>
      <c r="N504" s="8"/>
      <c r="O504" s="8"/>
      <c r="P504" s="8"/>
      <c r="Q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13"/>
      <c r="K505" s="10"/>
      <c r="L505" s="8"/>
      <c r="M505" s="8"/>
      <c r="N505" s="8"/>
      <c r="O505" s="8"/>
      <c r="P505" s="8"/>
      <c r="Q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13"/>
      <c r="K506" s="10"/>
      <c r="L506" s="8"/>
      <c r="M506" s="8"/>
      <c r="N506" s="8"/>
      <c r="O506" s="8"/>
      <c r="P506" s="8"/>
      <c r="Q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13"/>
      <c r="K507" s="10"/>
      <c r="L507" s="8"/>
      <c r="M507" s="8"/>
      <c r="N507" s="8"/>
      <c r="O507" s="8"/>
      <c r="P507" s="8"/>
      <c r="Q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13"/>
      <c r="K508" s="10"/>
      <c r="L508" s="8"/>
      <c r="M508" s="8"/>
      <c r="N508" s="8"/>
      <c r="O508" s="8"/>
      <c r="P508" s="8"/>
      <c r="Q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13"/>
      <c r="K509" s="10"/>
      <c r="L509" s="8"/>
      <c r="M509" s="8"/>
      <c r="N509" s="8"/>
      <c r="O509" s="8"/>
      <c r="P509" s="8"/>
      <c r="Q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13"/>
      <c r="K510" s="10"/>
      <c r="L510" s="8"/>
      <c r="M510" s="8"/>
      <c r="N510" s="8"/>
      <c r="O510" s="8"/>
      <c r="P510" s="8"/>
      <c r="Q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13"/>
      <c r="K511" s="10"/>
      <c r="L511" s="8"/>
      <c r="M511" s="8"/>
      <c r="N511" s="8"/>
      <c r="O511" s="8"/>
      <c r="P511" s="8"/>
      <c r="Q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13"/>
      <c r="K512" s="10"/>
      <c r="L512" s="8"/>
      <c r="M512" s="8"/>
      <c r="N512" s="8"/>
      <c r="O512" s="8"/>
      <c r="P512" s="8"/>
      <c r="Q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13"/>
      <c r="K513" s="10"/>
      <c r="L513" s="8"/>
      <c r="M513" s="8"/>
      <c r="N513" s="8"/>
      <c r="O513" s="8"/>
      <c r="P513" s="8"/>
      <c r="Q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13"/>
      <c r="K514" s="10"/>
      <c r="L514" s="8"/>
      <c r="M514" s="8"/>
      <c r="N514" s="8"/>
      <c r="O514" s="8"/>
      <c r="P514" s="8"/>
      <c r="Q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13"/>
      <c r="K515" s="10"/>
      <c r="L515" s="8"/>
      <c r="M515" s="8"/>
      <c r="N515" s="8"/>
      <c r="O515" s="8"/>
      <c r="P515" s="8"/>
      <c r="Q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13"/>
      <c r="K516" s="10"/>
      <c r="L516" s="8"/>
      <c r="M516" s="8"/>
      <c r="N516" s="8"/>
      <c r="O516" s="8"/>
      <c r="P516" s="8"/>
      <c r="Q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13"/>
      <c r="K517" s="10"/>
      <c r="L517" s="8"/>
      <c r="M517" s="8"/>
      <c r="N517" s="8"/>
      <c r="O517" s="8"/>
      <c r="P517" s="8"/>
      <c r="Q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13"/>
      <c r="K518" s="10"/>
      <c r="L518" s="8"/>
      <c r="M518" s="8"/>
      <c r="N518" s="8"/>
      <c r="O518" s="8"/>
      <c r="P518" s="8"/>
      <c r="Q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13"/>
      <c r="K519" s="10"/>
      <c r="L519" s="8"/>
      <c r="M519" s="8"/>
      <c r="N519" s="8"/>
      <c r="O519" s="8"/>
      <c r="P519" s="8"/>
      <c r="Q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13"/>
      <c r="K520" s="10"/>
      <c r="L520" s="8"/>
      <c r="M520" s="8"/>
      <c r="N520" s="8"/>
      <c r="O520" s="8"/>
      <c r="P520" s="8"/>
      <c r="Q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13"/>
      <c r="K521" s="10"/>
      <c r="L521" s="8"/>
      <c r="M521" s="8"/>
      <c r="N521" s="8"/>
      <c r="O521" s="8"/>
      <c r="P521" s="8"/>
      <c r="Q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13"/>
      <c r="K522" s="10"/>
      <c r="L522" s="8"/>
      <c r="M522" s="8"/>
      <c r="N522" s="8"/>
      <c r="O522" s="8"/>
      <c r="P522" s="8"/>
      <c r="Q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13"/>
      <c r="K523" s="10"/>
      <c r="L523" s="8"/>
      <c r="M523" s="8"/>
      <c r="N523" s="8"/>
      <c r="O523" s="8"/>
      <c r="P523" s="8"/>
      <c r="Q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13"/>
      <c r="K524" s="10"/>
      <c r="L524" s="8"/>
      <c r="M524" s="8"/>
      <c r="N524" s="8"/>
      <c r="O524" s="8"/>
      <c r="P524" s="8"/>
      <c r="Q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13"/>
      <c r="K525" s="10"/>
      <c r="L525" s="8"/>
      <c r="M525" s="8"/>
      <c r="N525" s="8"/>
      <c r="O525" s="8"/>
      <c r="P525" s="8"/>
      <c r="Q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13"/>
      <c r="K526" s="10"/>
      <c r="L526" s="8"/>
      <c r="M526" s="8"/>
      <c r="N526" s="8"/>
      <c r="O526" s="8"/>
      <c r="P526" s="8"/>
      <c r="Q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13"/>
      <c r="K527" s="10"/>
      <c r="L527" s="8"/>
      <c r="M527" s="8"/>
      <c r="N527" s="8"/>
      <c r="O527" s="8"/>
      <c r="P527" s="8"/>
      <c r="Q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13"/>
      <c r="K528" s="10"/>
      <c r="L528" s="8"/>
      <c r="M528" s="8"/>
      <c r="N528" s="8"/>
      <c r="O528" s="8"/>
      <c r="P528" s="8"/>
      <c r="Q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13"/>
      <c r="K529" s="10"/>
      <c r="L529" s="8"/>
      <c r="M529" s="8"/>
      <c r="N529" s="8"/>
      <c r="O529" s="8"/>
      <c r="P529" s="8"/>
      <c r="Q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13"/>
      <c r="K530" s="10"/>
      <c r="L530" s="8"/>
      <c r="M530" s="8"/>
      <c r="N530" s="8"/>
      <c r="O530" s="8"/>
      <c r="P530" s="8"/>
      <c r="Q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13"/>
      <c r="K531" s="10"/>
      <c r="L531" s="8"/>
      <c r="M531" s="8"/>
      <c r="N531" s="8"/>
      <c r="O531" s="8"/>
      <c r="P531" s="8"/>
      <c r="Q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13"/>
      <c r="K532" s="10"/>
      <c r="L532" s="8"/>
      <c r="M532" s="8"/>
      <c r="N532" s="8"/>
      <c r="O532" s="8"/>
      <c r="P532" s="8"/>
      <c r="Q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13"/>
      <c r="K533" s="10"/>
      <c r="L533" s="8"/>
      <c r="M533" s="8"/>
      <c r="N533" s="8"/>
      <c r="O533" s="8"/>
      <c r="P533" s="8"/>
      <c r="Q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13"/>
      <c r="K534" s="10"/>
      <c r="L534" s="8"/>
      <c r="M534" s="8"/>
      <c r="N534" s="8"/>
      <c r="O534" s="8"/>
      <c r="P534" s="8"/>
      <c r="Q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13"/>
      <c r="K535" s="10"/>
      <c r="L535" s="8"/>
      <c r="M535" s="8"/>
      <c r="N535" s="8"/>
      <c r="O535" s="8"/>
      <c r="P535" s="8"/>
      <c r="Q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13"/>
      <c r="K536" s="10"/>
      <c r="L536" s="8"/>
      <c r="M536" s="8"/>
      <c r="N536" s="8"/>
      <c r="O536" s="8"/>
      <c r="P536" s="8"/>
      <c r="Q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13"/>
      <c r="K537" s="10"/>
      <c r="L537" s="8"/>
      <c r="M537" s="8"/>
      <c r="N537" s="8"/>
      <c r="O537" s="8"/>
      <c r="P537" s="8"/>
      <c r="Q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13"/>
      <c r="K538" s="10"/>
      <c r="L538" s="8"/>
      <c r="M538" s="8"/>
      <c r="N538" s="8"/>
      <c r="O538" s="8"/>
      <c r="P538" s="8"/>
      <c r="Q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13"/>
      <c r="K539" s="10"/>
      <c r="L539" s="8"/>
      <c r="M539" s="8"/>
      <c r="N539" s="8"/>
      <c r="O539" s="8"/>
      <c r="P539" s="8"/>
      <c r="Q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13"/>
      <c r="K540" s="10"/>
      <c r="L540" s="8"/>
      <c r="M540" s="8"/>
      <c r="N540" s="8"/>
      <c r="O540" s="8"/>
      <c r="P540" s="8"/>
      <c r="Q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13"/>
      <c r="K541" s="10"/>
      <c r="L541" s="8"/>
      <c r="M541" s="8"/>
      <c r="N541" s="8"/>
      <c r="O541" s="8"/>
      <c r="P541" s="8"/>
      <c r="Q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13"/>
      <c r="K542" s="10"/>
      <c r="L542" s="8"/>
      <c r="M542" s="8"/>
      <c r="N542" s="8"/>
      <c r="O542" s="8"/>
      <c r="P542" s="8"/>
      <c r="Q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13"/>
      <c r="K543" s="10"/>
      <c r="L543" s="8"/>
      <c r="M543" s="8"/>
      <c r="N543" s="8"/>
      <c r="O543" s="8"/>
      <c r="P543" s="8"/>
      <c r="Q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13"/>
      <c r="K544" s="10"/>
      <c r="L544" s="8"/>
      <c r="M544" s="8"/>
      <c r="N544" s="8"/>
      <c r="O544" s="8"/>
      <c r="P544" s="8"/>
      <c r="Q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13"/>
      <c r="K545" s="10"/>
      <c r="L545" s="8"/>
      <c r="M545" s="8"/>
      <c r="N545" s="8"/>
      <c r="O545" s="8"/>
      <c r="P545" s="8"/>
      <c r="Q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13"/>
      <c r="K546" s="10"/>
      <c r="L546" s="8"/>
      <c r="M546" s="8"/>
      <c r="N546" s="8"/>
      <c r="O546" s="8"/>
      <c r="P546" s="8"/>
      <c r="Q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13"/>
      <c r="K547" s="10"/>
      <c r="L547" s="8"/>
      <c r="M547" s="8"/>
      <c r="N547" s="8"/>
      <c r="O547" s="8"/>
      <c r="P547" s="8"/>
      <c r="Q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13"/>
      <c r="K548" s="10"/>
      <c r="L548" s="8"/>
      <c r="M548" s="8"/>
      <c r="N548" s="8"/>
      <c r="O548" s="8"/>
      <c r="P548" s="8"/>
      <c r="Q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13"/>
      <c r="K549" s="10"/>
      <c r="L549" s="8"/>
      <c r="M549" s="8"/>
      <c r="N549" s="8"/>
      <c r="O549" s="8"/>
      <c r="P549" s="8"/>
      <c r="Q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13"/>
      <c r="K550" s="10"/>
      <c r="L550" s="8"/>
      <c r="M550" s="8"/>
      <c r="N550" s="8"/>
      <c r="O550" s="8"/>
      <c r="P550" s="8"/>
      <c r="Q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13"/>
      <c r="K551" s="10"/>
      <c r="L551" s="8"/>
      <c r="M551" s="8"/>
      <c r="N551" s="8"/>
      <c r="O551" s="8"/>
      <c r="P551" s="8"/>
      <c r="Q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13"/>
      <c r="K552" s="10"/>
      <c r="L552" s="8"/>
      <c r="M552" s="8"/>
      <c r="N552" s="8"/>
      <c r="O552" s="8"/>
      <c r="P552" s="8"/>
      <c r="Q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13"/>
      <c r="K553" s="10"/>
      <c r="L553" s="8"/>
      <c r="M553" s="8"/>
      <c r="N553" s="8"/>
      <c r="O553" s="8"/>
      <c r="P553" s="8"/>
      <c r="Q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13"/>
      <c r="K554" s="10"/>
      <c r="L554" s="8"/>
      <c r="M554" s="8"/>
      <c r="N554" s="8"/>
      <c r="O554" s="8"/>
      <c r="P554" s="8"/>
      <c r="Q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13"/>
      <c r="K555" s="10"/>
      <c r="L555" s="8"/>
      <c r="M555" s="8"/>
      <c r="N555" s="8"/>
      <c r="O555" s="8"/>
      <c r="P555" s="8"/>
      <c r="Q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13"/>
      <c r="K556" s="10"/>
      <c r="L556" s="8"/>
      <c r="M556" s="8"/>
      <c r="N556" s="8"/>
      <c r="O556" s="8"/>
      <c r="P556" s="8"/>
      <c r="Q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13"/>
      <c r="K557" s="10"/>
      <c r="L557" s="8"/>
      <c r="M557" s="8"/>
      <c r="N557" s="8"/>
      <c r="O557" s="8"/>
      <c r="P557" s="8"/>
      <c r="Q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13"/>
      <c r="K558" s="10"/>
      <c r="L558" s="8"/>
      <c r="M558" s="8"/>
      <c r="N558" s="8"/>
      <c r="O558" s="8"/>
      <c r="P558" s="8"/>
      <c r="Q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13"/>
      <c r="K559" s="10"/>
      <c r="L559" s="8"/>
      <c r="M559" s="8"/>
      <c r="N559" s="8"/>
      <c r="O559" s="8"/>
      <c r="P559" s="8"/>
      <c r="Q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13"/>
      <c r="K560" s="10"/>
      <c r="L560" s="8"/>
      <c r="M560" s="8"/>
      <c r="N560" s="8"/>
      <c r="O560" s="8"/>
      <c r="P560" s="8"/>
      <c r="Q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13"/>
      <c r="K561" s="10"/>
      <c r="L561" s="8"/>
      <c r="M561" s="8"/>
      <c r="N561" s="8"/>
      <c r="O561" s="8"/>
      <c r="P561" s="8"/>
      <c r="Q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13"/>
      <c r="K562" s="10"/>
      <c r="L562" s="8"/>
      <c r="M562" s="8"/>
      <c r="N562" s="8"/>
      <c r="O562" s="8"/>
      <c r="P562" s="8"/>
      <c r="Q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13"/>
      <c r="K563" s="10"/>
      <c r="L563" s="8"/>
      <c r="M563" s="8"/>
      <c r="N563" s="8"/>
      <c r="O563" s="8"/>
      <c r="P563" s="8"/>
      <c r="Q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13"/>
      <c r="K564" s="10"/>
      <c r="L564" s="8"/>
      <c r="M564" s="8"/>
      <c r="N564" s="8"/>
      <c r="O564" s="8"/>
      <c r="P564" s="8"/>
      <c r="Q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13"/>
      <c r="K565" s="10"/>
      <c r="L565" s="8"/>
      <c r="M565" s="8"/>
      <c r="N565" s="8"/>
      <c r="O565" s="8"/>
      <c r="P565" s="8"/>
      <c r="Q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13"/>
      <c r="K566" s="10"/>
      <c r="L566" s="8"/>
      <c r="M566" s="8"/>
      <c r="N566" s="8"/>
      <c r="O566" s="8"/>
      <c r="P566" s="8"/>
      <c r="Q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13"/>
      <c r="K567" s="10"/>
      <c r="L567" s="8"/>
      <c r="M567" s="8"/>
      <c r="N567" s="8"/>
      <c r="O567" s="8"/>
      <c r="P567" s="8"/>
      <c r="Q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13"/>
      <c r="K568" s="10"/>
      <c r="L568" s="8"/>
      <c r="M568" s="8"/>
      <c r="N568" s="8"/>
      <c r="O568" s="8"/>
      <c r="P568" s="8"/>
      <c r="Q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13"/>
      <c r="K569" s="10"/>
      <c r="L569" s="8"/>
      <c r="M569" s="8"/>
      <c r="N569" s="8"/>
      <c r="O569" s="8"/>
      <c r="P569" s="8"/>
      <c r="Q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13"/>
      <c r="K570" s="10"/>
      <c r="L570" s="8"/>
      <c r="M570" s="8"/>
      <c r="N570" s="8"/>
      <c r="O570" s="8"/>
      <c r="P570" s="8"/>
      <c r="Q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13"/>
      <c r="K571" s="10"/>
      <c r="L571" s="8"/>
      <c r="M571" s="8"/>
      <c r="N571" s="8"/>
      <c r="O571" s="8"/>
      <c r="P571" s="8"/>
      <c r="Q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13"/>
      <c r="K572" s="10"/>
      <c r="L572" s="8"/>
      <c r="M572" s="8"/>
      <c r="N572" s="8"/>
      <c r="O572" s="8"/>
      <c r="P572" s="8"/>
      <c r="Q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13"/>
      <c r="K573" s="10"/>
      <c r="L573" s="8"/>
      <c r="M573" s="8"/>
      <c r="N573" s="8"/>
      <c r="O573" s="8"/>
      <c r="P573" s="8"/>
      <c r="Q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13"/>
      <c r="K574" s="10"/>
      <c r="L574" s="8"/>
      <c r="M574" s="8"/>
      <c r="N574" s="8"/>
      <c r="O574" s="8"/>
      <c r="P574" s="8"/>
      <c r="Q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13"/>
      <c r="K575" s="10"/>
      <c r="L575" s="8"/>
      <c r="M575" s="8"/>
      <c r="N575" s="8"/>
      <c r="O575" s="8"/>
      <c r="P575" s="8"/>
      <c r="Q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13"/>
      <c r="K576" s="10"/>
      <c r="L576" s="8"/>
      <c r="M576" s="8"/>
      <c r="N576" s="8"/>
      <c r="O576" s="8"/>
      <c r="P576" s="8"/>
      <c r="Q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13"/>
      <c r="K577" s="10"/>
      <c r="L577" s="8"/>
      <c r="M577" s="8"/>
      <c r="N577" s="8"/>
      <c r="O577" s="8"/>
      <c r="P577" s="8"/>
      <c r="Q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13"/>
      <c r="K578" s="10"/>
      <c r="L578" s="8"/>
      <c r="M578" s="8"/>
      <c r="N578" s="8"/>
      <c r="O578" s="8"/>
      <c r="P578" s="8"/>
      <c r="Q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13"/>
      <c r="K579" s="10"/>
      <c r="L579" s="8"/>
      <c r="M579" s="8"/>
      <c r="N579" s="8"/>
      <c r="O579" s="8"/>
      <c r="P579" s="8"/>
      <c r="Q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13"/>
      <c r="K580" s="10"/>
      <c r="L580" s="8"/>
      <c r="M580" s="8"/>
      <c r="N580" s="8"/>
      <c r="O580" s="8"/>
      <c r="P580" s="8"/>
      <c r="Q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13"/>
      <c r="K581" s="10"/>
      <c r="L581" s="8"/>
      <c r="M581" s="8"/>
      <c r="N581" s="8"/>
      <c r="O581" s="8"/>
      <c r="P581" s="8"/>
      <c r="Q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13"/>
      <c r="K582" s="10"/>
      <c r="L582" s="8"/>
      <c r="M582" s="8"/>
      <c r="N582" s="8"/>
      <c r="O582" s="8"/>
      <c r="P582" s="8"/>
      <c r="Q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13"/>
      <c r="K583" s="10"/>
      <c r="L583" s="8"/>
      <c r="M583" s="8"/>
      <c r="N583" s="8"/>
      <c r="O583" s="8"/>
      <c r="P583" s="8"/>
      <c r="Q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13"/>
      <c r="K584" s="10"/>
      <c r="L584" s="8"/>
      <c r="M584" s="8"/>
      <c r="N584" s="8"/>
      <c r="O584" s="8"/>
      <c r="P584" s="8"/>
      <c r="Q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13"/>
      <c r="K585" s="10"/>
      <c r="L585" s="8"/>
      <c r="M585" s="8"/>
      <c r="N585" s="8"/>
      <c r="O585" s="8"/>
      <c r="P585" s="8"/>
      <c r="Q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13"/>
      <c r="K586" s="10"/>
      <c r="L586" s="8"/>
      <c r="M586" s="8"/>
      <c r="N586" s="8"/>
      <c r="O586" s="8"/>
      <c r="P586" s="8"/>
      <c r="Q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13"/>
      <c r="K587" s="10"/>
      <c r="L587" s="8"/>
      <c r="M587" s="8"/>
      <c r="N587" s="8"/>
      <c r="O587" s="8"/>
      <c r="P587" s="8"/>
      <c r="Q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13"/>
      <c r="K588" s="10"/>
      <c r="L588" s="8"/>
      <c r="M588" s="8"/>
      <c r="N588" s="8"/>
      <c r="O588" s="8"/>
      <c r="P588" s="8"/>
      <c r="Q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13"/>
      <c r="K589" s="10"/>
      <c r="L589" s="8"/>
      <c r="M589" s="8"/>
      <c r="N589" s="8"/>
      <c r="O589" s="8"/>
      <c r="P589" s="8"/>
      <c r="Q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13"/>
      <c r="K590" s="10"/>
      <c r="L590" s="8"/>
      <c r="M590" s="8"/>
      <c r="N590" s="8"/>
      <c r="O590" s="8"/>
      <c r="P590" s="8"/>
      <c r="Q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13"/>
      <c r="K591" s="10"/>
      <c r="L591" s="8"/>
      <c r="M591" s="8"/>
      <c r="N591" s="8"/>
      <c r="O591" s="8"/>
      <c r="P591" s="8"/>
      <c r="Q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13"/>
      <c r="K592" s="10"/>
      <c r="L592" s="8"/>
      <c r="M592" s="8"/>
      <c r="N592" s="8"/>
      <c r="O592" s="8"/>
      <c r="P592" s="8"/>
      <c r="Q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13"/>
      <c r="K593" s="10"/>
      <c r="L593" s="8"/>
      <c r="M593" s="8"/>
      <c r="N593" s="8"/>
      <c r="O593" s="8"/>
      <c r="P593" s="8"/>
      <c r="Q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13"/>
      <c r="K594" s="10"/>
      <c r="L594" s="8"/>
      <c r="M594" s="8"/>
      <c r="N594" s="8"/>
      <c r="O594" s="8"/>
      <c r="P594" s="8"/>
      <c r="Q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13"/>
      <c r="K595" s="10"/>
      <c r="L595" s="8"/>
      <c r="M595" s="8"/>
      <c r="N595" s="8"/>
      <c r="O595" s="8"/>
      <c r="P595" s="8"/>
      <c r="Q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13"/>
      <c r="K596" s="10"/>
      <c r="L596" s="8"/>
      <c r="M596" s="8"/>
      <c r="N596" s="8"/>
      <c r="O596" s="8"/>
      <c r="P596" s="8"/>
      <c r="Q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13"/>
      <c r="K597" s="10"/>
      <c r="L597" s="8"/>
      <c r="M597" s="8"/>
      <c r="N597" s="8"/>
      <c r="O597" s="8"/>
      <c r="P597" s="8"/>
      <c r="Q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13"/>
      <c r="K598" s="10"/>
      <c r="L598" s="8"/>
      <c r="M598" s="8"/>
      <c r="N598" s="8"/>
      <c r="O598" s="8"/>
      <c r="P598" s="8"/>
      <c r="Q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13"/>
      <c r="K599" s="10"/>
      <c r="L599" s="8"/>
      <c r="M599" s="8"/>
      <c r="N599" s="8"/>
      <c r="O599" s="8"/>
      <c r="P599" s="8"/>
      <c r="Q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13"/>
      <c r="K600" s="10"/>
      <c r="L600" s="8"/>
      <c r="M600" s="8"/>
      <c r="N600" s="8"/>
      <c r="O600" s="8"/>
      <c r="P600" s="8"/>
      <c r="Q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13"/>
      <c r="K601" s="10"/>
      <c r="L601" s="8"/>
      <c r="M601" s="8"/>
      <c r="N601" s="8"/>
      <c r="O601" s="8"/>
      <c r="P601" s="8"/>
      <c r="Q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13"/>
      <c r="K602" s="10"/>
      <c r="L602" s="8"/>
      <c r="M602" s="8"/>
      <c r="N602" s="8"/>
      <c r="O602" s="8"/>
      <c r="P602" s="8"/>
      <c r="Q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13"/>
      <c r="K603" s="10"/>
      <c r="L603" s="8"/>
      <c r="M603" s="8"/>
      <c r="N603" s="8"/>
      <c r="O603" s="8"/>
      <c r="P603" s="8"/>
      <c r="Q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13"/>
      <c r="K604" s="10"/>
      <c r="L604" s="8"/>
      <c r="M604" s="8"/>
      <c r="N604" s="8"/>
      <c r="O604" s="8"/>
      <c r="P604" s="8"/>
      <c r="Q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13"/>
      <c r="K605" s="10"/>
      <c r="L605" s="8"/>
      <c r="M605" s="8"/>
      <c r="N605" s="8"/>
      <c r="O605" s="8"/>
      <c r="P605" s="8"/>
      <c r="Q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13"/>
      <c r="K606" s="10"/>
      <c r="L606" s="8"/>
      <c r="M606" s="8"/>
      <c r="N606" s="8"/>
      <c r="O606" s="8"/>
      <c r="P606" s="8"/>
      <c r="Q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13"/>
      <c r="K607" s="10"/>
      <c r="L607" s="8"/>
      <c r="M607" s="8"/>
      <c r="N607" s="8"/>
      <c r="O607" s="8"/>
      <c r="P607" s="8"/>
      <c r="Q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13"/>
      <c r="K608" s="10"/>
      <c r="L608" s="8"/>
      <c r="M608" s="8"/>
      <c r="N608" s="8"/>
      <c r="O608" s="8"/>
      <c r="P608" s="8"/>
      <c r="Q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13"/>
      <c r="K609" s="10"/>
      <c r="L609" s="8"/>
      <c r="M609" s="8"/>
      <c r="N609" s="8"/>
      <c r="O609" s="8"/>
      <c r="P609" s="8"/>
      <c r="Q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13"/>
      <c r="K610" s="10"/>
      <c r="L610" s="8"/>
      <c r="M610" s="8"/>
      <c r="N610" s="8"/>
      <c r="O610" s="8"/>
      <c r="P610" s="8"/>
      <c r="Q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13"/>
      <c r="K611" s="10"/>
      <c r="L611" s="8"/>
      <c r="M611" s="8"/>
      <c r="N611" s="8"/>
      <c r="O611" s="8"/>
      <c r="P611" s="8"/>
      <c r="Q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13"/>
      <c r="K612" s="10"/>
      <c r="L612" s="8"/>
      <c r="M612" s="8"/>
      <c r="N612" s="8"/>
      <c r="O612" s="8"/>
      <c r="P612" s="8"/>
      <c r="Q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13"/>
      <c r="K613" s="10"/>
      <c r="L613" s="8"/>
      <c r="M613" s="8"/>
      <c r="N613" s="8"/>
      <c r="O613" s="8"/>
      <c r="P613" s="8"/>
      <c r="Q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13"/>
      <c r="K614" s="10"/>
      <c r="L614" s="8"/>
      <c r="M614" s="8"/>
      <c r="N614" s="8"/>
      <c r="O614" s="8"/>
      <c r="P614" s="8"/>
      <c r="Q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13"/>
      <c r="K615" s="10"/>
      <c r="L615" s="8"/>
      <c r="M615" s="8"/>
      <c r="N615" s="8"/>
      <c r="O615" s="8"/>
      <c r="P615" s="8"/>
      <c r="Q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13"/>
      <c r="K616" s="10"/>
      <c r="L616" s="8"/>
      <c r="M616" s="8"/>
      <c r="N616" s="8"/>
      <c r="O616" s="8"/>
      <c r="P616" s="8"/>
      <c r="Q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13"/>
      <c r="K617" s="10"/>
      <c r="L617" s="8"/>
      <c r="M617" s="8"/>
      <c r="N617" s="8"/>
      <c r="O617" s="8"/>
      <c r="P617" s="8"/>
      <c r="Q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13"/>
      <c r="K618" s="10"/>
      <c r="L618" s="8"/>
      <c r="M618" s="8"/>
      <c r="N618" s="8"/>
      <c r="O618" s="8"/>
      <c r="P618" s="8"/>
      <c r="Q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13"/>
      <c r="K619" s="10"/>
      <c r="L619" s="8"/>
      <c r="M619" s="8"/>
      <c r="N619" s="8"/>
      <c r="O619" s="8"/>
      <c r="P619" s="8"/>
      <c r="Q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13"/>
      <c r="K620" s="10"/>
      <c r="L620" s="8"/>
      <c r="M620" s="8"/>
      <c r="N620" s="8"/>
      <c r="O620" s="8"/>
      <c r="P620" s="8"/>
      <c r="Q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13"/>
      <c r="K621" s="10"/>
      <c r="L621" s="8"/>
      <c r="M621" s="8"/>
      <c r="N621" s="8"/>
      <c r="O621" s="8"/>
      <c r="P621" s="8"/>
      <c r="Q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13"/>
      <c r="K622" s="10"/>
      <c r="L622" s="8"/>
      <c r="M622" s="8"/>
      <c r="N622" s="8"/>
      <c r="O622" s="8"/>
      <c r="P622" s="8"/>
      <c r="Q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13"/>
      <c r="K623" s="10"/>
      <c r="L623" s="8"/>
      <c r="M623" s="8"/>
      <c r="N623" s="8"/>
      <c r="O623" s="8"/>
      <c r="P623" s="8"/>
      <c r="Q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13"/>
      <c r="K624" s="10"/>
      <c r="L624" s="8"/>
      <c r="M624" s="8"/>
      <c r="N624" s="8"/>
      <c r="O624" s="8"/>
      <c r="P624" s="8"/>
      <c r="Q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13"/>
      <c r="K625" s="10"/>
      <c r="L625" s="8"/>
      <c r="M625" s="8"/>
      <c r="N625" s="8"/>
      <c r="O625" s="8"/>
      <c r="P625" s="8"/>
      <c r="Q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13"/>
      <c r="K626" s="10"/>
      <c r="L626" s="8"/>
      <c r="M626" s="8"/>
      <c r="N626" s="8"/>
      <c r="O626" s="8"/>
      <c r="P626" s="8"/>
      <c r="Q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13"/>
      <c r="K627" s="10"/>
      <c r="L627" s="8"/>
      <c r="M627" s="8"/>
      <c r="N627" s="8"/>
      <c r="O627" s="8"/>
      <c r="P627" s="8"/>
      <c r="Q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13"/>
      <c r="K628" s="10"/>
      <c r="L628" s="8"/>
      <c r="M628" s="8"/>
      <c r="N628" s="8"/>
      <c r="O628" s="8"/>
      <c r="P628" s="8"/>
      <c r="Q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13"/>
      <c r="K629" s="10"/>
      <c r="L629" s="8"/>
      <c r="M629" s="8"/>
      <c r="N629" s="8"/>
      <c r="O629" s="8"/>
      <c r="P629" s="8"/>
      <c r="Q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13"/>
      <c r="K630" s="10"/>
      <c r="L630" s="8"/>
      <c r="M630" s="8"/>
      <c r="N630" s="8"/>
      <c r="O630" s="8"/>
      <c r="P630" s="8"/>
      <c r="Q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13"/>
      <c r="K631" s="10"/>
      <c r="L631" s="8"/>
      <c r="M631" s="8"/>
      <c r="N631" s="8"/>
      <c r="O631" s="8"/>
      <c r="P631" s="8"/>
      <c r="Q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13"/>
      <c r="K632" s="10"/>
      <c r="L632" s="8"/>
      <c r="M632" s="8"/>
      <c r="N632" s="8"/>
      <c r="O632" s="8"/>
      <c r="P632" s="8"/>
      <c r="Q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13"/>
      <c r="K633" s="10"/>
      <c r="L633" s="8"/>
      <c r="M633" s="8"/>
      <c r="N633" s="8"/>
      <c r="O633" s="8"/>
      <c r="P633" s="8"/>
      <c r="Q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13"/>
      <c r="K634" s="10"/>
      <c r="L634" s="8"/>
      <c r="M634" s="8"/>
      <c r="N634" s="8"/>
      <c r="O634" s="8"/>
      <c r="P634" s="8"/>
      <c r="Q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13"/>
      <c r="K635" s="10"/>
      <c r="L635" s="8"/>
      <c r="M635" s="8"/>
      <c r="N635" s="8"/>
      <c r="O635" s="8"/>
      <c r="P635" s="8"/>
      <c r="Q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13"/>
      <c r="K636" s="10"/>
      <c r="L636" s="8"/>
      <c r="M636" s="8"/>
      <c r="N636" s="8"/>
      <c r="O636" s="8"/>
      <c r="P636" s="8"/>
      <c r="Q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13"/>
      <c r="K637" s="10"/>
      <c r="L637" s="8"/>
      <c r="M637" s="8"/>
      <c r="N637" s="8"/>
      <c r="O637" s="8"/>
      <c r="P637" s="8"/>
      <c r="Q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13"/>
      <c r="K638" s="10"/>
      <c r="L638" s="8"/>
      <c r="M638" s="8"/>
      <c r="N638" s="8"/>
      <c r="O638" s="8"/>
      <c r="P638" s="8"/>
      <c r="Q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13"/>
      <c r="K639" s="10"/>
      <c r="L639" s="8"/>
      <c r="M639" s="8"/>
      <c r="N639" s="8"/>
      <c r="O639" s="8"/>
      <c r="P639" s="8"/>
      <c r="Q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13"/>
      <c r="K640" s="10"/>
      <c r="L640" s="8"/>
      <c r="M640" s="8"/>
      <c r="N640" s="8"/>
      <c r="O640" s="8"/>
      <c r="P640" s="8"/>
      <c r="Q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13"/>
      <c r="K641" s="10"/>
      <c r="L641" s="8"/>
      <c r="M641" s="8"/>
      <c r="N641" s="8"/>
      <c r="O641" s="8"/>
      <c r="P641" s="8"/>
      <c r="Q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13"/>
      <c r="K642" s="10"/>
      <c r="L642" s="8"/>
      <c r="M642" s="8"/>
      <c r="N642" s="8"/>
      <c r="O642" s="8"/>
      <c r="P642" s="8"/>
      <c r="Q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13"/>
      <c r="K643" s="10"/>
      <c r="L643" s="8"/>
      <c r="M643" s="8"/>
      <c r="N643" s="8"/>
      <c r="O643" s="8"/>
      <c r="P643" s="8"/>
      <c r="Q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13"/>
      <c r="K644" s="10"/>
      <c r="L644" s="8"/>
      <c r="M644" s="8"/>
      <c r="N644" s="8"/>
      <c r="O644" s="8"/>
      <c r="P644" s="8"/>
      <c r="Q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13"/>
      <c r="K645" s="10"/>
      <c r="L645" s="8"/>
      <c r="M645" s="8"/>
      <c r="N645" s="8"/>
      <c r="O645" s="8"/>
      <c r="P645" s="8"/>
      <c r="Q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13"/>
      <c r="K646" s="10"/>
      <c r="L646" s="8"/>
      <c r="M646" s="8"/>
      <c r="N646" s="8"/>
      <c r="O646" s="8"/>
      <c r="P646" s="8"/>
      <c r="Q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13"/>
      <c r="K647" s="10"/>
      <c r="L647" s="8"/>
      <c r="M647" s="8"/>
      <c r="N647" s="8"/>
      <c r="O647" s="8"/>
      <c r="P647" s="8"/>
      <c r="Q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13"/>
      <c r="K648" s="10"/>
      <c r="L648" s="8"/>
      <c r="M648" s="8"/>
      <c r="N648" s="8"/>
      <c r="O648" s="8"/>
      <c r="P648" s="8"/>
      <c r="Q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13"/>
      <c r="K649" s="10"/>
      <c r="L649" s="8"/>
      <c r="M649" s="8"/>
      <c r="N649" s="8"/>
      <c r="O649" s="8"/>
      <c r="P649" s="8"/>
      <c r="Q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13"/>
      <c r="K650" s="10"/>
      <c r="L650" s="8"/>
      <c r="M650" s="8"/>
      <c r="N650" s="8"/>
      <c r="O650" s="8"/>
      <c r="P650" s="8"/>
      <c r="Q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13"/>
      <c r="K651" s="10"/>
      <c r="L651" s="8"/>
      <c r="M651" s="8"/>
      <c r="N651" s="8"/>
      <c r="O651" s="8"/>
      <c r="P651" s="8"/>
      <c r="Q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13"/>
      <c r="K652" s="10"/>
      <c r="L652" s="8"/>
      <c r="M652" s="8"/>
      <c r="N652" s="8"/>
      <c r="O652" s="8"/>
      <c r="P652" s="8"/>
      <c r="Q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13"/>
      <c r="K653" s="10"/>
      <c r="L653" s="8"/>
      <c r="M653" s="8"/>
      <c r="N653" s="8"/>
      <c r="O653" s="8"/>
      <c r="P653" s="8"/>
      <c r="Q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13"/>
      <c r="K654" s="10"/>
      <c r="L654" s="8"/>
      <c r="M654" s="8"/>
      <c r="N654" s="8"/>
      <c r="O654" s="8"/>
      <c r="P654" s="8"/>
      <c r="Q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13"/>
      <c r="K655" s="10"/>
      <c r="L655" s="8"/>
      <c r="M655" s="8"/>
      <c r="N655" s="8"/>
      <c r="O655" s="8"/>
      <c r="P655" s="8"/>
      <c r="Q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13"/>
      <c r="K656" s="10"/>
      <c r="L656" s="8"/>
      <c r="M656" s="8"/>
      <c r="N656" s="8"/>
      <c r="O656" s="8"/>
      <c r="P656" s="8"/>
      <c r="Q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13"/>
      <c r="K657" s="10"/>
      <c r="L657" s="8"/>
      <c r="M657" s="8"/>
      <c r="N657" s="8"/>
      <c r="O657" s="8"/>
      <c r="P657" s="8"/>
      <c r="Q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13"/>
      <c r="K658" s="10"/>
      <c r="L658" s="8"/>
      <c r="M658" s="8"/>
      <c r="N658" s="8"/>
      <c r="O658" s="8"/>
      <c r="P658" s="8"/>
      <c r="Q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13"/>
      <c r="K659" s="10"/>
      <c r="L659" s="8"/>
      <c r="M659" s="8"/>
      <c r="N659" s="8"/>
      <c r="O659" s="8"/>
      <c r="P659" s="8"/>
      <c r="Q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13"/>
      <c r="K660" s="10"/>
      <c r="L660" s="8"/>
      <c r="M660" s="8"/>
      <c r="N660" s="8"/>
      <c r="O660" s="8"/>
      <c r="P660" s="8"/>
      <c r="Q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13"/>
      <c r="K661" s="10"/>
      <c r="L661" s="8"/>
      <c r="M661" s="8"/>
      <c r="N661" s="8"/>
      <c r="O661" s="8"/>
      <c r="P661" s="8"/>
      <c r="Q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13"/>
      <c r="K662" s="10"/>
      <c r="L662" s="8"/>
      <c r="M662" s="8"/>
      <c r="N662" s="8"/>
      <c r="O662" s="8"/>
      <c r="P662" s="8"/>
      <c r="Q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13"/>
      <c r="K663" s="10"/>
      <c r="L663" s="8"/>
      <c r="M663" s="8"/>
      <c r="N663" s="8"/>
      <c r="O663" s="8"/>
      <c r="P663" s="8"/>
      <c r="Q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13"/>
      <c r="K664" s="10"/>
      <c r="L664" s="8"/>
      <c r="M664" s="8"/>
      <c r="N664" s="8"/>
      <c r="O664" s="8"/>
      <c r="P664" s="8"/>
      <c r="Q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13"/>
      <c r="K665" s="10"/>
      <c r="L665" s="8"/>
      <c r="M665" s="8"/>
      <c r="N665" s="8"/>
      <c r="O665" s="8"/>
      <c r="P665" s="8"/>
      <c r="Q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13"/>
      <c r="K666" s="10"/>
      <c r="L666" s="8"/>
      <c r="M666" s="8"/>
      <c r="N666" s="8"/>
      <c r="O666" s="8"/>
      <c r="P666" s="8"/>
      <c r="Q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13"/>
      <c r="K667" s="10"/>
      <c r="L667" s="8"/>
      <c r="M667" s="8"/>
      <c r="N667" s="8"/>
      <c r="O667" s="8"/>
      <c r="P667" s="8"/>
      <c r="Q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13"/>
      <c r="K668" s="10"/>
      <c r="L668" s="8"/>
      <c r="M668" s="8"/>
      <c r="N668" s="8"/>
      <c r="O668" s="8"/>
      <c r="P668" s="8"/>
      <c r="Q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13"/>
      <c r="K669" s="10"/>
      <c r="L669" s="8"/>
      <c r="M669" s="8"/>
      <c r="N669" s="8"/>
      <c r="O669" s="8"/>
      <c r="P669" s="8"/>
      <c r="Q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13"/>
      <c r="K670" s="10"/>
      <c r="L670" s="8"/>
      <c r="M670" s="8"/>
      <c r="N670" s="8"/>
      <c r="O670" s="8"/>
      <c r="P670" s="8"/>
      <c r="Q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13"/>
      <c r="K671" s="10"/>
      <c r="L671" s="8"/>
      <c r="M671" s="8"/>
      <c r="N671" s="8"/>
      <c r="O671" s="8"/>
      <c r="P671" s="8"/>
      <c r="Q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13"/>
      <c r="K672" s="10"/>
      <c r="L672" s="8"/>
      <c r="M672" s="8"/>
      <c r="N672" s="8"/>
      <c r="O672" s="8"/>
      <c r="P672" s="8"/>
      <c r="Q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13"/>
      <c r="K673" s="10"/>
      <c r="L673" s="8"/>
      <c r="M673" s="8"/>
      <c r="N673" s="8"/>
      <c r="O673" s="8"/>
      <c r="P673" s="8"/>
      <c r="Q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13"/>
      <c r="K674" s="10"/>
      <c r="L674" s="8"/>
      <c r="M674" s="8"/>
      <c r="N674" s="8"/>
      <c r="O674" s="8"/>
      <c r="P674" s="8"/>
      <c r="Q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13"/>
      <c r="K675" s="10"/>
      <c r="L675" s="8"/>
      <c r="M675" s="8"/>
      <c r="N675" s="8"/>
      <c r="O675" s="8"/>
      <c r="P675" s="8"/>
      <c r="Q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13"/>
      <c r="K676" s="10"/>
      <c r="L676" s="8"/>
      <c r="M676" s="8"/>
      <c r="N676" s="8"/>
      <c r="O676" s="8"/>
      <c r="P676" s="8"/>
      <c r="Q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13"/>
      <c r="K677" s="10"/>
      <c r="L677" s="8"/>
      <c r="M677" s="8"/>
      <c r="N677" s="8"/>
      <c r="O677" s="8"/>
      <c r="P677" s="8"/>
      <c r="Q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13"/>
      <c r="K678" s="10"/>
      <c r="L678" s="8"/>
      <c r="M678" s="8"/>
      <c r="N678" s="8"/>
      <c r="O678" s="8"/>
      <c r="P678" s="8"/>
      <c r="Q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13"/>
      <c r="K679" s="10"/>
      <c r="L679" s="8"/>
      <c r="M679" s="8"/>
      <c r="N679" s="8"/>
      <c r="O679" s="8"/>
      <c r="P679" s="8"/>
      <c r="Q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13"/>
      <c r="K680" s="10"/>
      <c r="L680" s="8"/>
      <c r="M680" s="8"/>
      <c r="N680" s="8"/>
      <c r="O680" s="8"/>
      <c r="P680" s="8"/>
      <c r="Q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13"/>
      <c r="K681" s="10"/>
      <c r="L681" s="8"/>
      <c r="M681" s="8"/>
      <c r="N681" s="8"/>
      <c r="O681" s="8"/>
      <c r="P681" s="8"/>
      <c r="Q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13"/>
      <c r="K682" s="10"/>
      <c r="L682" s="8"/>
      <c r="M682" s="8"/>
      <c r="N682" s="8"/>
      <c r="O682" s="8"/>
      <c r="P682" s="8"/>
      <c r="Q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13"/>
      <c r="K683" s="10"/>
      <c r="L683" s="8"/>
      <c r="M683" s="8"/>
      <c r="N683" s="8"/>
      <c r="O683" s="8"/>
      <c r="P683" s="8"/>
      <c r="Q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13"/>
      <c r="K684" s="10"/>
      <c r="L684" s="8"/>
      <c r="M684" s="8"/>
      <c r="N684" s="8"/>
      <c r="O684" s="8"/>
      <c r="P684" s="8"/>
      <c r="Q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13"/>
      <c r="K685" s="10"/>
      <c r="L685" s="8"/>
      <c r="M685" s="8"/>
      <c r="N685" s="8"/>
      <c r="O685" s="8"/>
      <c r="P685" s="8"/>
      <c r="Q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13"/>
      <c r="K686" s="10"/>
      <c r="L686" s="8"/>
      <c r="M686" s="8"/>
      <c r="N686" s="8"/>
      <c r="O686" s="8"/>
      <c r="P686" s="8"/>
      <c r="Q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13"/>
      <c r="K687" s="10"/>
      <c r="L687" s="8"/>
      <c r="M687" s="8"/>
      <c r="N687" s="8"/>
      <c r="O687" s="8"/>
      <c r="P687" s="8"/>
      <c r="Q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13"/>
      <c r="K688" s="10"/>
      <c r="L688" s="8"/>
      <c r="M688" s="8"/>
      <c r="N688" s="8"/>
      <c r="O688" s="8"/>
      <c r="P688" s="8"/>
      <c r="Q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13"/>
      <c r="K689" s="10"/>
      <c r="L689" s="8"/>
      <c r="M689" s="8"/>
      <c r="N689" s="8"/>
      <c r="O689" s="8"/>
      <c r="P689" s="8"/>
      <c r="Q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13"/>
      <c r="K690" s="10"/>
      <c r="L690" s="8"/>
      <c r="M690" s="8"/>
      <c r="N690" s="8"/>
      <c r="O690" s="8"/>
      <c r="P690" s="8"/>
      <c r="Q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13"/>
      <c r="K691" s="10"/>
      <c r="L691" s="8"/>
      <c r="M691" s="8"/>
      <c r="N691" s="8"/>
      <c r="O691" s="8"/>
      <c r="P691" s="8"/>
      <c r="Q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13"/>
      <c r="K692" s="10"/>
      <c r="L692" s="8"/>
      <c r="M692" s="8"/>
      <c r="N692" s="8"/>
      <c r="O692" s="8"/>
      <c r="P692" s="8"/>
      <c r="Q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13"/>
      <c r="K693" s="10"/>
      <c r="L693" s="8"/>
      <c r="M693" s="8"/>
      <c r="N693" s="8"/>
      <c r="O693" s="8"/>
      <c r="P693" s="8"/>
      <c r="Q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13"/>
      <c r="K694" s="10"/>
      <c r="L694" s="8"/>
      <c r="M694" s="8"/>
      <c r="N694" s="8"/>
      <c r="O694" s="8"/>
      <c r="P694" s="8"/>
      <c r="Q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13"/>
      <c r="K695" s="10"/>
      <c r="L695" s="8"/>
      <c r="M695" s="8"/>
      <c r="N695" s="8"/>
      <c r="O695" s="8"/>
      <c r="P695" s="8"/>
      <c r="Q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13"/>
      <c r="K696" s="10"/>
      <c r="L696" s="8"/>
      <c r="M696" s="8"/>
      <c r="N696" s="8"/>
      <c r="O696" s="8"/>
      <c r="P696" s="8"/>
      <c r="Q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13"/>
      <c r="K697" s="10"/>
      <c r="L697" s="8"/>
      <c r="M697" s="8"/>
      <c r="N697" s="8"/>
      <c r="O697" s="8"/>
      <c r="P697" s="8"/>
      <c r="Q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13"/>
      <c r="K698" s="10"/>
      <c r="L698" s="8"/>
      <c r="M698" s="8"/>
      <c r="N698" s="8"/>
      <c r="O698" s="8"/>
      <c r="P698" s="8"/>
      <c r="Q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13"/>
      <c r="K699" s="10"/>
      <c r="L699" s="8"/>
      <c r="M699" s="8"/>
      <c r="N699" s="8"/>
      <c r="O699" s="8"/>
      <c r="P699" s="8"/>
      <c r="Q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13"/>
      <c r="K700" s="10"/>
      <c r="L700" s="8"/>
      <c r="M700" s="8"/>
      <c r="N700" s="8"/>
      <c r="O700" s="8"/>
      <c r="P700" s="8"/>
      <c r="Q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13"/>
      <c r="K701" s="10"/>
      <c r="L701" s="8"/>
      <c r="M701" s="8"/>
      <c r="N701" s="8"/>
      <c r="O701" s="8"/>
      <c r="P701" s="8"/>
      <c r="Q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13"/>
      <c r="K702" s="10"/>
      <c r="L702" s="8"/>
      <c r="M702" s="8"/>
      <c r="N702" s="8"/>
      <c r="O702" s="8"/>
      <c r="P702" s="8"/>
      <c r="Q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13"/>
      <c r="K703" s="10"/>
      <c r="L703" s="8"/>
      <c r="M703" s="8"/>
      <c r="N703" s="8"/>
      <c r="O703" s="8"/>
      <c r="P703" s="8"/>
      <c r="Q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13"/>
      <c r="K704" s="10"/>
      <c r="L704" s="8"/>
      <c r="M704" s="8"/>
      <c r="N704" s="8"/>
      <c r="O704" s="8"/>
      <c r="P704" s="8"/>
      <c r="Q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13"/>
      <c r="K705" s="10"/>
      <c r="L705" s="8"/>
      <c r="M705" s="8"/>
      <c r="N705" s="8"/>
      <c r="O705" s="8"/>
      <c r="P705" s="8"/>
      <c r="Q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13"/>
      <c r="K706" s="10"/>
      <c r="L706" s="8"/>
      <c r="M706" s="8"/>
      <c r="N706" s="8"/>
      <c r="O706" s="8"/>
      <c r="P706" s="8"/>
      <c r="Q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13"/>
      <c r="K707" s="10"/>
      <c r="L707" s="8"/>
      <c r="M707" s="8"/>
      <c r="N707" s="8"/>
      <c r="O707" s="8"/>
      <c r="P707" s="8"/>
      <c r="Q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13"/>
      <c r="K708" s="10"/>
      <c r="L708" s="8"/>
      <c r="M708" s="8"/>
      <c r="N708" s="8"/>
      <c r="O708" s="8"/>
      <c r="P708" s="8"/>
      <c r="Q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13"/>
      <c r="K709" s="10"/>
      <c r="L709" s="8"/>
      <c r="M709" s="8"/>
      <c r="N709" s="8"/>
      <c r="O709" s="8"/>
      <c r="P709" s="8"/>
      <c r="Q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13"/>
      <c r="K710" s="10"/>
      <c r="L710" s="8"/>
      <c r="M710" s="8"/>
      <c r="N710" s="8"/>
      <c r="O710" s="8"/>
      <c r="P710" s="8"/>
      <c r="Q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13"/>
      <c r="K711" s="10"/>
      <c r="L711" s="8"/>
      <c r="M711" s="8"/>
      <c r="N711" s="8"/>
      <c r="O711" s="8"/>
      <c r="P711" s="8"/>
      <c r="Q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13"/>
      <c r="K712" s="10"/>
      <c r="L712" s="8"/>
      <c r="M712" s="8"/>
      <c r="N712" s="8"/>
      <c r="O712" s="8"/>
      <c r="P712" s="8"/>
      <c r="Q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13"/>
      <c r="K713" s="10"/>
      <c r="L713" s="8"/>
      <c r="M713" s="8"/>
      <c r="N713" s="8"/>
      <c r="O713" s="8"/>
      <c r="P713" s="8"/>
      <c r="Q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13"/>
      <c r="K714" s="10"/>
      <c r="L714" s="8"/>
      <c r="M714" s="8"/>
      <c r="N714" s="8"/>
      <c r="O714" s="8"/>
      <c r="P714" s="8"/>
      <c r="Q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13"/>
      <c r="K715" s="10"/>
      <c r="L715" s="8"/>
      <c r="M715" s="8"/>
      <c r="N715" s="8"/>
      <c r="O715" s="8"/>
      <c r="P715" s="8"/>
      <c r="Q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13"/>
      <c r="K716" s="10"/>
      <c r="L716" s="8"/>
      <c r="M716" s="8"/>
      <c r="N716" s="8"/>
      <c r="O716" s="8"/>
      <c r="P716" s="8"/>
      <c r="Q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13"/>
      <c r="K717" s="10"/>
      <c r="L717" s="8"/>
      <c r="M717" s="8"/>
      <c r="N717" s="8"/>
      <c r="O717" s="8"/>
      <c r="P717" s="8"/>
      <c r="Q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13"/>
      <c r="K718" s="10"/>
      <c r="L718" s="8"/>
      <c r="M718" s="8"/>
      <c r="N718" s="8"/>
      <c r="O718" s="8"/>
      <c r="P718" s="8"/>
      <c r="Q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13"/>
      <c r="K719" s="10"/>
      <c r="L719" s="8"/>
      <c r="M719" s="8"/>
      <c r="N719" s="8"/>
      <c r="O719" s="8"/>
      <c r="P719" s="8"/>
      <c r="Q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13"/>
      <c r="K720" s="10"/>
      <c r="L720" s="8"/>
      <c r="M720" s="8"/>
      <c r="N720" s="8"/>
      <c r="O720" s="8"/>
      <c r="P720" s="8"/>
      <c r="Q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13"/>
      <c r="K721" s="10"/>
      <c r="L721" s="8"/>
      <c r="M721" s="8"/>
      <c r="N721" s="8"/>
      <c r="O721" s="8"/>
      <c r="P721" s="8"/>
      <c r="Q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13"/>
      <c r="K722" s="10"/>
      <c r="L722" s="8"/>
      <c r="M722" s="8"/>
      <c r="N722" s="8"/>
      <c r="O722" s="8"/>
      <c r="P722" s="8"/>
      <c r="Q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13"/>
      <c r="K723" s="10"/>
      <c r="L723" s="8"/>
      <c r="M723" s="8"/>
      <c r="N723" s="8"/>
      <c r="O723" s="8"/>
      <c r="P723" s="8"/>
      <c r="Q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13"/>
      <c r="K724" s="10"/>
      <c r="L724" s="8"/>
      <c r="M724" s="8"/>
      <c r="N724" s="8"/>
      <c r="O724" s="8"/>
      <c r="P724" s="8"/>
      <c r="Q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13"/>
      <c r="K725" s="10"/>
      <c r="L725" s="8"/>
      <c r="M725" s="8"/>
      <c r="N725" s="8"/>
      <c r="O725" s="8"/>
      <c r="P725" s="8"/>
      <c r="Q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13"/>
      <c r="K726" s="10"/>
      <c r="L726" s="8"/>
      <c r="M726" s="8"/>
      <c r="N726" s="8"/>
      <c r="O726" s="8"/>
      <c r="P726" s="8"/>
      <c r="Q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13"/>
      <c r="K727" s="10"/>
      <c r="L727" s="8"/>
      <c r="M727" s="8"/>
      <c r="N727" s="8"/>
      <c r="O727" s="8"/>
      <c r="P727" s="8"/>
      <c r="Q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13"/>
      <c r="K728" s="10"/>
      <c r="L728" s="8"/>
      <c r="M728" s="8"/>
      <c r="N728" s="8"/>
      <c r="O728" s="8"/>
      <c r="P728" s="8"/>
      <c r="Q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13"/>
      <c r="K729" s="10"/>
      <c r="L729" s="8"/>
      <c r="M729" s="8"/>
      <c r="N729" s="8"/>
      <c r="O729" s="8"/>
      <c r="P729" s="8"/>
      <c r="Q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13"/>
      <c r="K730" s="10"/>
      <c r="L730" s="8"/>
      <c r="M730" s="8"/>
      <c r="N730" s="8"/>
      <c r="O730" s="8"/>
      <c r="P730" s="8"/>
      <c r="Q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13"/>
      <c r="K731" s="10"/>
      <c r="L731" s="8"/>
      <c r="M731" s="8"/>
      <c r="N731" s="8"/>
      <c r="O731" s="8"/>
      <c r="P731" s="8"/>
      <c r="Q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13"/>
      <c r="K732" s="10"/>
      <c r="L732" s="8"/>
      <c r="M732" s="8"/>
      <c r="N732" s="8"/>
      <c r="O732" s="8"/>
      <c r="P732" s="8"/>
      <c r="Q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13"/>
      <c r="K733" s="10"/>
      <c r="L733" s="8"/>
      <c r="M733" s="8"/>
      <c r="N733" s="8"/>
      <c r="O733" s="8"/>
      <c r="P733" s="8"/>
      <c r="Q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13"/>
      <c r="K734" s="10"/>
      <c r="L734" s="8"/>
      <c r="M734" s="8"/>
      <c r="N734" s="8"/>
      <c r="O734" s="8"/>
      <c r="P734" s="8"/>
      <c r="Q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13"/>
      <c r="K735" s="10"/>
      <c r="L735" s="8"/>
      <c r="M735" s="8"/>
      <c r="N735" s="8"/>
      <c r="O735" s="8"/>
      <c r="P735" s="8"/>
      <c r="Q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13"/>
      <c r="K736" s="10"/>
      <c r="L736" s="8"/>
      <c r="M736" s="8"/>
      <c r="N736" s="8"/>
      <c r="O736" s="8"/>
      <c r="P736" s="8"/>
      <c r="Q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13"/>
      <c r="K737" s="10"/>
      <c r="L737" s="8"/>
      <c r="M737" s="8"/>
      <c r="N737" s="8"/>
      <c r="O737" s="8"/>
      <c r="P737" s="8"/>
      <c r="Q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13"/>
      <c r="K738" s="10"/>
      <c r="L738" s="8"/>
      <c r="M738" s="8"/>
      <c r="N738" s="8"/>
      <c r="O738" s="8"/>
      <c r="P738" s="8"/>
      <c r="Q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13"/>
      <c r="K739" s="10"/>
      <c r="L739" s="8"/>
      <c r="M739" s="8"/>
      <c r="N739" s="8"/>
      <c r="O739" s="8"/>
      <c r="P739" s="8"/>
      <c r="Q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13"/>
      <c r="K740" s="10"/>
      <c r="L740" s="8"/>
      <c r="M740" s="8"/>
      <c r="N740" s="8"/>
      <c r="O740" s="8"/>
      <c r="P740" s="8"/>
      <c r="Q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13"/>
      <c r="K741" s="10"/>
      <c r="L741" s="8"/>
      <c r="M741" s="8"/>
      <c r="N741" s="8"/>
      <c r="O741" s="8"/>
      <c r="P741" s="8"/>
      <c r="Q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13"/>
      <c r="K742" s="10"/>
      <c r="L742" s="8"/>
      <c r="M742" s="8"/>
      <c r="N742" s="8"/>
      <c r="O742" s="8"/>
      <c r="P742" s="8"/>
      <c r="Q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13"/>
      <c r="K743" s="10"/>
      <c r="L743" s="8"/>
      <c r="M743" s="8"/>
      <c r="N743" s="8"/>
      <c r="O743" s="8"/>
      <c r="P743" s="8"/>
      <c r="Q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13"/>
      <c r="K744" s="10"/>
      <c r="L744" s="8"/>
      <c r="M744" s="8"/>
      <c r="N744" s="8"/>
      <c r="O744" s="8"/>
      <c r="P744" s="8"/>
      <c r="Q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13"/>
      <c r="K745" s="10"/>
      <c r="L745" s="8"/>
      <c r="M745" s="8"/>
      <c r="N745" s="8"/>
      <c r="O745" s="8"/>
      <c r="P745" s="8"/>
      <c r="Q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13"/>
      <c r="K746" s="10"/>
      <c r="L746" s="8"/>
      <c r="M746" s="8"/>
      <c r="N746" s="8"/>
      <c r="O746" s="8"/>
      <c r="P746" s="8"/>
      <c r="Q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13"/>
      <c r="K747" s="10"/>
      <c r="L747" s="8"/>
      <c r="M747" s="8"/>
      <c r="N747" s="8"/>
      <c r="O747" s="8"/>
      <c r="P747" s="8"/>
      <c r="Q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13"/>
      <c r="K748" s="10"/>
      <c r="L748" s="8"/>
      <c r="M748" s="8"/>
      <c r="N748" s="8"/>
      <c r="O748" s="8"/>
      <c r="P748" s="8"/>
      <c r="Q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13"/>
      <c r="K749" s="10"/>
      <c r="L749" s="8"/>
      <c r="M749" s="8"/>
      <c r="N749" s="8"/>
      <c r="O749" s="8"/>
      <c r="P749" s="8"/>
      <c r="Q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13"/>
      <c r="K750" s="10"/>
      <c r="L750" s="8"/>
      <c r="M750" s="8"/>
      <c r="N750" s="8"/>
      <c r="O750" s="8"/>
      <c r="P750" s="8"/>
      <c r="Q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13"/>
      <c r="K751" s="10"/>
      <c r="L751" s="8"/>
      <c r="M751" s="8"/>
      <c r="N751" s="8"/>
      <c r="O751" s="8"/>
      <c r="P751" s="8"/>
      <c r="Q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13"/>
      <c r="K752" s="10"/>
      <c r="L752" s="8"/>
      <c r="M752" s="8"/>
      <c r="N752" s="8"/>
      <c r="O752" s="8"/>
      <c r="P752" s="8"/>
      <c r="Q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13"/>
      <c r="K753" s="10"/>
      <c r="L753" s="8"/>
      <c r="M753" s="8"/>
      <c r="N753" s="8"/>
      <c r="O753" s="8"/>
      <c r="P753" s="8"/>
      <c r="Q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13"/>
      <c r="K754" s="10"/>
      <c r="L754" s="8"/>
      <c r="M754" s="8"/>
      <c r="N754" s="8"/>
      <c r="O754" s="8"/>
      <c r="P754" s="8"/>
      <c r="Q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13"/>
      <c r="K755" s="10"/>
      <c r="L755" s="8"/>
      <c r="M755" s="8"/>
      <c r="N755" s="8"/>
      <c r="O755" s="8"/>
      <c r="P755" s="8"/>
      <c r="Q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13"/>
      <c r="K756" s="10"/>
      <c r="L756" s="8"/>
      <c r="M756" s="8"/>
      <c r="N756" s="8"/>
      <c r="O756" s="8"/>
      <c r="P756" s="8"/>
      <c r="Q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13"/>
      <c r="K757" s="10"/>
      <c r="L757" s="8"/>
      <c r="M757" s="8"/>
      <c r="N757" s="8"/>
      <c r="O757" s="8"/>
      <c r="P757" s="8"/>
      <c r="Q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13"/>
      <c r="K758" s="10"/>
      <c r="L758" s="8"/>
      <c r="M758" s="8"/>
      <c r="N758" s="8"/>
      <c r="O758" s="8"/>
      <c r="P758" s="8"/>
      <c r="Q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13"/>
      <c r="K759" s="10"/>
      <c r="L759" s="8"/>
      <c r="M759" s="8"/>
      <c r="N759" s="8"/>
      <c r="O759" s="8"/>
      <c r="P759" s="8"/>
      <c r="Q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13"/>
      <c r="K760" s="10"/>
      <c r="L760" s="8"/>
      <c r="M760" s="8"/>
      <c r="N760" s="8"/>
      <c r="O760" s="8"/>
      <c r="P760" s="8"/>
      <c r="Q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13"/>
      <c r="K761" s="10"/>
      <c r="L761" s="8"/>
      <c r="M761" s="8"/>
      <c r="N761" s="8"/>
      <c r="O761" s="8"/>
      <c r="P761" s="8"/>
      <c r="Q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13"/>
      <c r="K762" s="10"/>
      <c r="L762" s="8"/>
      <c r="M762" s="8"/>
      <c r="N762" s="8"/>
      <c r="O762" s="8"/>
      <c r="P762" s="8"/>
      <c r="Q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13"/>
      <c r="K763" s="10"/>
      <c r="L763" s="8"/>
      <c r="M763" s="8"/>
      <c r="N763" s="8"/>
      <c r="O763" s="8"/>
      <c r="P763" s="8"/>
      <c r="Q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13"/>
      <c r="K764" s="10"/>
      <c r="L764" s="8"/>
      <c r="M764" s="8"/>
      <c r="N764" s="8"/>
      <c r="O764" s="8"/>
      <c r="P764" s="8"/>
      <c r="Q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13"/>
      <c r="K765" s="10"/>
      <c r="L765" s="8"/>
      <c r="M765" s="8"/>
      <c r="N765" s="8"/>
      <c r="O765" s="8"/>
      <c r="P765" s="8"/>
      <c r="Q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13"/>
      <c r="K766" s="10"/>
      <c r="L766" s="8"/>
      <c r="M766" s="8"/>
      <c r="N766" s="8"/>
      <c r="O766" s="8"/>
      <c r="P766" s="8"/>
      <c r="Q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13"/>
      <c r="K767" s="10"/>
      <c r="L767" s="8"/>
      <c r="M767" s="8"/>
      <c r="N767" s="8"/>
      <c r="O767" s="8"/>
      <c r="P767" s="8"/>
      <c r="Q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13"/>
      <c r="K768" s="10"/>
      <c r="L768" s="8"/>
      <c r="M768" s="8"/>
      <c r="N768" s="8"/>
      <c r="O768" s="8"/>
      <c r="P768" s="8"/>
      <c r="Q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13"/>
      <c r="K769" s="10"/>
      <c r="L769" s="8"/>
      <c r="M769" s="8"/>
      <c r="N769" s="8"/>
      <c r="O769" s="8"/>
      <c r="P769" s="8"/>
      <c r="Q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13"/>
      <c r="K770" s="10"/>
      <c r="L770" s="8"/>
      <c r="M770" s="8"/>
      <c r="N770" s="8"/>
      <c r="O770" s="8"/>
      <c r="P770" s="8"/>
      <c r="Q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13"/>
      <c r="K771" s="10"/>
      <c r="L771" s="8"/>
      <c r="M771" s="8"/>
      <c r="N771" s="8"/>
      <c r="O771" s="8"/>
      <c r="P771" s="8"/>
      <c r="Q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13"/>
      <c r="K772" s="10"/>
      <c r="L772" s="8"/>
      <c r="M772" s="8"/>
      <c r="N772" s="8"/>
      <c r="O772" s="8"/>
      <c r="P772" s="8"/>
      <c r="Q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13"/>
      <c r="K773" s="10"/>
      <c r="L773" s="8"/>
      <c r="M773" s="8"/>
      <c r="N773" s="8"/>
      <c r="O773" s="8"/>
      <c r="P773" s="8"/>
      <c r="Q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13"/>
      <c r="K774" s="10"/>
      <c r="L774" s="8"/>
      <c r="M774" s="8"/>
      <c r="N774" s="8"/>
      <c r="O774" s="8"/>
      <c r="P774" s="8"/>
      <c r="Q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13"/>
      <c r="K775" s="10"/>
      <c r="L775" s="8"/>
      <c r="M775" s="8"/>
      <c r="N775" s="8"/>
      <c r="O775" s="8"/>
      <c r="P775" s="8"/>
      <c r="Q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13"/>
      <c r="K776" s="10"/>
      <c r="L776" s="8"/>
      <c r="M776" s="8"/>
      <c r="N776" s="8"/>
      <c r="O776" s="8"/>
      <c r="P776" s="8"/>
      <c r="Q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13"/>
      <c r="K777" s="10"/>
      <c r="L777" s="8"/>
      <c r="M777" s="8"/>
      <c r="N777" s="8"/>
      <c r="O777" s="8"/>
      <c r="P777" s="8"/>
      <c r="Q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13"/>
      <c r="K778" s="10"/>
      <c r="L778" s="8"/>
      <c r="M778" s="8"/>
      <c r="N778" s="8"/>
      <c r="O778" s="8"/>
      <c r="P778" s="8"/>
      <c r="Q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13"/>
      <c r="K779" s="10"/>
      <c r="L779" s="8"/>
      <c r="M779" s="8"/>
      <c r="N779" s="8"/>
      <c r="O779" s="8"/>
      <c r="P779" s="8"/>
      <c r="Q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13"/>
      <c r="K780" s="10"/>
      <c r="L780" s="8"/>
      <c r="M780" s="8"/>
      <c r="N780" s="8"/>
      <c r="O780" s="8"/>
      <c r="P780" s="8"/>
      <c r="Q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13"/>
      <c r="K781" s="10"/>
      <c r="L781" s="8"/>
      <c r="M781" s="8"/>
      <c r="N781" s="8"/>
      <c r="O781" s="8"/>
      <c r="P781" s="8"/>
      <c r="Q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13"/>
      <c r="K782" s="10"/>
      <c r="L782" s="8"/>
      <c r="M782" s="8"/>
      <c r="N782" s="8"/>
      <c r="O782" s="8"/>
      <c r="P782" s="8"/>
      <c r="Q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13"/>
      <c r="K783" s="10"/>
      <c r="L783" s="8"/>
      <c r="M783" s="8"/>
      <c r="N783" s="8"/>
      <c r="O783" s="8"/>
      <c r="P783" s="8"/>
      <c r="Q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13"/>
      <c r="K784" s="10"/>
      <c r="L784" s="8"/>
      <c r="M784" s="8"/>
      <c r="N784" s="8"/>
      <c r="O784" s="8"/>
      <c r="P784" s="8"/>
      <c r="Q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13"/>
      <c r="K785" s="10"/>
      <c r="L785" s="8"/>
      <c r="M785" s="8"/>
      <c r="N785" s="8"/>
      <c r="O785" s="8"/>
      <c r="P785" s="8"/>
      <c r="Q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13"/>
      <c r="K786" s="10"/>
      <c r="L786" s="8"/>
      <c r="M786" s="8"/>
      <c r="N786" s="8"/>
      <c r="O786" s="8"/>
      <c r="P786" s="8"/>
      <c r="Q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13"/>
      <c r="K787" s="10"/>
      <c r="L787" s="8"/>
      <c r="M787" s="8"/>
      <c r="N787" s="8"/>
      <c r="O787" s="8"/>
      <c r="P787" s="8"/>
      <c r="Q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13"/>
      <c r="K788" s="10"/>
      <c r="L788" s="8"/>
      <c r="M788" s="8"/>
      <c r="N788" s="8"/>
      <c r="O788" s="8"/>
      <c r="P788" s="8"/>
      <c r="Q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13"/>
      <c r="K789" s="10"/>
      <c r="L789" s="8"/>
      <c r="M789" s="8"/>
      <c r="N789" s="8"/>
      <c r="O789" s="8"/>
      <c r="P789" s="8"/>
      <c r="Q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13"/>
      <c r="K790" s="10"/>
      <c r="L790" s="8"/>
      <c r="M790" s="8"/>
      <c r="N790" s="8"/>
      <c r="O790" s="8"/>
      <c r="P790" s="8"/>
      <c r="Q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13"/>
      <c r="K791" s="10"/>
      <c r="L791" s="8"/>
      <c r="M791" s="8"/>
      <c r="N791" s="8"/>
      <c r="O791" s="8"/>
      <c r="P791" s="8"/>
      <c r="Q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13"/>
      <c r="K792" s="10"/>
      <c r="L792" s="8"/>
      <c r="M792" s="8"/>
      <c r="N792" s="8"/>
      <c r="O792" s="8"/>
      <c r="P792" s="8"/>
      <c r="Q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13"/>
      <c r="K793" s="10"/>
      <c r="L793" s="8"/>
      <c r="M793" s="8"/>
      <c r="N793" s="8"/>
      <c r="O793" s="8"/>
      <c r="P793" s="8"/>
      <c r="Q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13"/>
      <c r="K794" s="10"/>
      <c r="L794" s="8"/>
      <c r="M794" s="8"/>
      <c r="N794" s="8"/>
      <c r="O794" s="8"/>
      <c r="P794" s="8"/>
      <c r="Q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13"/>
      <c r="K795" s="10"/>
      <c r="L795" s="8"/>
      <c r="M795" s="8"/>
      <c r="N795" s="8"/>
      <c r="O795" s="8"/>
      <c r="P795" s="8"/>
      <c r="Q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13"/>
      <c r="K796" s="10"/>
      <c r="L796" s="8"/>
      <c r="M796" s="8"/>
      <c r="N796" s="8"/>
      <c r="O796" s="8"/>
      <c r="P796" s="8"/>
      <c r="Q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13"/>
      <c r="K797" s="10"/>
      <c r="L797" s="8"/>
      <c r="M797" s="8"/>
      <c r="N797" s="8"/>
      <c r="O797" s="8"/>
      <c r="P797" s="8"/>
      <c r="Q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13"/>
      <c r="K798" s="10"/>
      <c r="L798" s="8"/>
      <c r="M798" s="8"/>
      <c r="N798" s="8"/>
      <c r="O798" s="8"/>
      <c r="P798" s="8"/>
      <c r="Q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13"/>
      <c r="K799" s="10"/>
      <c r="L799" s="8"/>
      <c r="M799" s="8"/>
      <c r="N799" s="8"/>
      <c r="O799" s="8"/>
      <c r="P799" s="8"/>
      <c r="Q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13"/>
      <c r="K800" s="10"/>
      <c r="L800" s="8"/>
      <c r="M800" s="8"/>
      <c r="N800" s="8"/>
      <c r="O800" s="8"/>
      <c r="P800" s="8"/>
      <c r="Q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13"/>
      <c r="K801" s="10"/>
      <c r="L801" s="8"/>
      <c r="M801" s="8"/>
      <c r="N801" s="8"/>
      <c r="O801" s="8"/>
      <c r="P801" s="8"/>
      <c r="Q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13"/>
      <c r="K802" s="10"/>
      <c r="L802" s="8"/>
      <c r="M802" s="8"/>
      <c r="N802" s="8"/>
      <c r="O802" s="8"/>
      <c r="P802" s="8"/>
      <c r="Q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13"/>
      <c r="K803" s="10"/>
      <c r="L803" s="8"/>
      <c r="M803" s="8"/>
      <c r="N803" s="8"/>
      <c r="O803" s="8"/>
      <c r="P803" s="8"/>
      <c r="Q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13"/>
      <c r="K804" s="10"/>
      <c r="L804" s="8"/>
      <c r="M804" s="8"/>
      <c r="N804" s="8"/>
      <c r="O804" s="8"/>
      <c r="P804" s="8"/>
      <c r="Q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13"/>
      <c r="K805" s="10"/>
      <c r="L805" s="8"/>
      <c r="M805" s="8"/>
      <c r="N805" s="8"/>
      <c r="O805" s="8"/>
      <c r="P805" s="8"/>
      <c r="Q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13"/>
      <c r="K806" s="10"/>
      <c r="L806" s="8"/>
      <c r="M806" s="8"/>
      <c r="N806" s="8"/>
      <c r="O806" s="8"/>
      <c r="P806" s="8"/>
      <c r="Q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13"/>
      <c r="K807" s="10"/>
      <c r="L807" s="8"/>
      <c r="M807" s="8"/>
      <c r="N807" s="8"/>
      <c r="O807" s="8"/>
      <c r="P807" s="8"/>
      <c r="Q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13"/>
      <c r="K808" s="10"/>
      <c r="L808" s="8"/>
      <c r="M808" s="8"/>
      <c r="N808" s="8"/>
      <c r="O808" s="8"/>
      <c r="P808" s="8"/>
      <c r="Q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13"/>
      <c r="K809" s="10"/>
      <c r="L809" s="8"/>
      <c r="M809" s="8"/>
      <c r="N809" s="8"/>
      <c r="O809" s="8"/>
      <c r="P809" s="8"/>
      <c r="Q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13"/>
      <c r="K810" s="10"/>
      <c r="L810" s="8"/>
      <c r="M810" s="8"/>
      <c r="N810" s="8"/>
      <c r="O810" s="8"/>
      <c r="P810" s="8"/>
      <c r="Q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13"/>
      <c r="K811" s="10"/>
      <c r="L811" s="8"/>
      <c r="M811" s="8"/>
      <c r="N811" s="8"/>
      <c r="O811" s="8"/>
      <c r="P811" s="8"/>
      <c r="Q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13"/>
      <c r="K812" s="10"/>
      <c r="L812" s="8"/>
      <c r="M812" s="8"/>
      <c r="N812" s="8"/>
      <c r="O812" s="8"/>
      <c r="P812" s="8"/>
      <c r="Q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13"/>
      <c r="K813" s="10"/>
      <c r="L813" s="8"/>
      <c r="M813" s="8"/>
      <c r="N813" s="8"/>
      <c r="O813" s="8"/>
      <c r="P813" s="8"/>
      <c r="Q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13"/>
      <c r="K814" s="10"/>
      <c r="L814" s="8"/>
      <c r="M814" s="8"/>
      <c r="N814" s="8"/>
      <c r="O814" s="8"/>
      <c r="P814" s="8"/>
      <c r="Q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13"/>
      <c r="K815" s="10"/>
      <c r="L815" s="8"/>
      <c r="M815" s="8"/>
      <c r="N815" s="8"/>
      <c r="O815" s="8"/>
      <c r="P815" s="8"/>
      <c r="Q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13"/>
      <c r="K816" s="10"/>
      <c r="L816" s="8"/>
      <c r="M816" s="8"/>
      <c r="N816" s="8"/>
      <c r="O816" s="8"/>
      <c r="P816" s="8"/>
      <c r="Q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13"/>
      <c r="K817" s="10"/>
      <c r="L817" s="8"/>
      <c r="M817" s="8"/>
      <c r="N817" s="8"/>
      <c r="O817" s="8"/>
      <c r="P817" s="8"/>
      <c r="Q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13"/>
      <c r="K818" s="10"/>
      <c r="L818" s="8"/>
      <c r="M818" s="8"/>
      <c r="N818" s="8"/>
      <c r="O818" s="8"/>
      <c r="P818" s="8"/>
      <c r="Q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13"/>
      <c r="K819" s="10"/>
      <c r="L819" s="8"/>
      <c r="M819" s="8"/>
      <c r="N819" s="8"/>
      <c r="O819" s="8"/>
      <c r="P819" s="8"/>
      <c r="Q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13"/>
      <c r="K820" s="10"/>
      <c r="L820" s="8"/>
      <c r="M820" s="8"/>
      <c r="N820" s="8"/>
      <c r="O820" s="8"/>
      <c r="P820" s="8"/>
      <c r="Q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13"/>
      <c r="K821" s="10"/>
      <c r="L821" s="8"/>
      <c r="M821" s="8"/>
      <c r="N821" s="8"/>
      <c r="O821" s="8"/>
      <c r="P821" s="8"/>
      <c r="Q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13"/>
      <c r="K822" s="10"/>
      <c r="L822" s="8"/>
      <c r="M822" s="8"/>
      <c r="N822" s="8"/>
      <c r="O822" s="8"/>
      <c r="P822" s="8"/>
      <c r="Q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13"/>
      <c r="K823" s="10"/>
      <c r="L823" s="8"/>
      <c r="M823" s="8"/>
      <c r="N823" s="8"/>
      <c r="O823" s="8"/>
      <c r="P823" s="8"/>
      <c r="Q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13"/>
      <c r="K824" s="10"/>
      <c r="L824" s="8"/>
      <c r="M824" s="8"/>
      <c r="N824" s="8"/>
      <c r="O824" s="8"/>
      <c r="P824" s="8"/>
      <c r="Q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13"/>
      <c r="K825" s="10"/>
      <c r="L825" s="8"/>
      <c r="M825" s="8"/>
      <c r="N825" s="8"/>
      <c r="O825" s="8"/>
      <c r="P825" s="8"/>
      <c r="Q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13"/>
      <c r="K826" s="10"/>
      <c r="L826" s="8"/>
      <c r="M826" s="8"/>
      <c r="N826" s="8"/>
      <c r="O826" s="8"/>
      <c r="P826" s="8"/>
      <c r="Q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13"/>
      <c r="K827" s="10"/>
      <c r="L827" s="8"/>
      <c r="M827" s="8"/>
      <c r="N827" s="8"/>
      <c r="O827" s="8"/>
      <c r="P827" s="8"/>
      <c r="Q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13"/>
      <c r="K828" s="10"/>
      <c r="L828" s="8"/>
      <c r="M828" s="8"/>
      <c r="N828" s="8"/>
      <c r="O828" s="8"/>
      <c r="P828" s="8"/>
      <c r="Q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13"/>
      <c r="K829" s="10"/>
      <c r="L829" s="8"/>
      <c r="M829" s="8"/>
      <c r="N829" s="8"/>
      <c r="O829" s="8"/>
      <c r="P829" s="8"/>
      <c r="Q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13"/>
      <c r="K830" s="10"/>
      <c r="L830" s="8"/>
      <c r="M830" s="8"/>
      <c r="N830" s="8"/>
      <c r="O830" s="8"/>
      <c r="P830" s="8"/>
      <c r="Q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13"/>
      <c r="K831" s="10"/>
      <c r="L831" s="8"/>
      <c r="M831" s="8"/>
      <c r="N831" s="8"/>
      <c r="O831" s="8"/>
      <c r="P831" s="8"/>
      <c r="Q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13"/>
      <c r="K832" s="10"/>
      <c r="L832" s="8"/>
      <c r="M832" s="8"/>
      <c r="N832" s="8"/>
      <c r="O832" s="8"/>
      <c r="P832" s="8"/>
      <c r="Q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13"/>
      <c r="K833" s="10"/>
      <c r="L833" s="8"/>
      <c r="M833" s="8"/>
      <c r="N833" s="8"/>
      <c r="O833" s="8"/>
      <c r="P833" s="8"/>
      <c r="Q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13"/>
      <c r="K834" s="10"/>
      <c r="L834" s="8"/>
      <c r="M834" s="8"/>
      <c r="N834" s="8"/>
      <c r="O834" s="8"/>
      <c r="P834" s="8"/>
      <c r="Q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13"/>
      <c r="K835" s="10"/>
      <c r="L835" s="8"/>
      <c r="M835" s="8"/>
      <c r="N835" s="8"/>
      <c r="O835" s="8"/>
      <c r="P835" s="8"/>
      <c r="Q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13"/>
      <c r="K836" s="10"/>
      <c r="L836" s="8"/>
      <c r="M836" s="8"/>
      <c r="N836" s="8"/>
      <c r="O836" s="8"/>
      <c r="P836" s="8"/>
      <c r="Q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13"/>
      <c r="K837" s="10"/>
      <c r="L837" s="8"/>
      <c r="M837" s="8"/>
      <c r="N837" s="8"/>
      <c r="O837" s="8"/>
      <c r="P837" s="8"/>
      <c r="Q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13"/>
      <c r="K838" s="10"/>
      <c r="L838" s="8"/>
      <c r="M838" s="8"/>
      <c r="N838" s="8"/>
      <c r="O838" s="8"/>
      <c r="P838" s="8"/>
      <c r="Q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13"/>
      <c r="K839" s="10"/>
      <c r="L839" s="8"/>
      <c r="M839" s="8"/>
      <c r="N839" s="8"/>
      <c r="O839" s="8"/>
      <c r="P839" s="8"/>
      <c r="Q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13"/>
      <c r="K840" s="10"/>
      <c r="L840" s="8"/>
      <c r="M840" s="8"/>
      <c r="N840" s="8"/>
      <c r="O840" s="8"/>
      <c r="P840" s="8"/>
      <c r="Q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13"/>
      <c r="K841" s="10"/>
      <c r="L841" s="8"/>
      <c r="M841" s="8"/>
      <c r="N841" s="8"/>
      <c r="O841" s="8"/>
      <c r="P841" s="8"/>
      <c r="Q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13"/>
      <c r="K842" s="10"/>
      <c r="L842" s="8"/>
      <c r="M842" s="8"/>
      <c r="N842" s="8"/>
      <c r="O842" s="8"/>
      <c r="P842" s="8"/>
      <c r="Q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13"/>
      <c r="K843" s="10"/>
      <c r="L843" s="8"/>
      <c r="M843" s="8"/>
      <c r="N843" s="8"/>
      <c r="O843" s="8"/>
      <c r="P843" s="8"/>
      <c r="Q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13"/>
      <c r="K844" s="10"/>
      <c r="L844" s="8"/>
      <c r="M844" s="8"/>
      <c r="N844" s="8"/>
      <c r="O844" s="8"/>
      <c r="P844" s="8"/>
      <c r="Q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13"/>
      <c r="K845" s="10"/>
      <c r="L845" s="8"/>
      <c r="M845" s="8"/>
      <c r="N845" s="8"/>
      <c r="O845" s="8"/>
      <c r="P845" s="8"/>
      <c r="Q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13"/>
      <c r="K846" s="10"/>
      <c r="L846" s="8"/>
      <c r="M846" s="8"/>
      <c r="N846" s="8"/>
      <c r="O846" s="8"/>
      <c r="P846" s="8"/>
      <c r="Q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13"/>
      <c r="K847" s="10"/>
      <c r="L847" s="8"/>
      <c r="M847" s="8"/>
      <c r="N847" s="8"/>
      <c r="O847" s="8"/>
      <c r="P847" s="8"/>
      <c r="Q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13"/>
      <c r="K848" s="10"/>
      <c r="L848" s="8"/>
      <c r="M848" s="8"/>
      <c r="N848" s="8"/>
      <c r="O848" s="8"/>
      <c r="P848" s="8"/>
      <c r="Q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13"/>
      <c r="K849" s="10"/>
      <c r="L849" s="8"/>
      <c r="M849" s="8"/>
      <c r="N849" s="8"/>
      <c r="O849" s="8"/>
      <c r="P849" s="8"/>
      <c r="Q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13"/>
      <c r="K850" s="10"/>
      <c r="L850" s="8"/>
      <c r="M850" s="8"/>
      <c r="N850" s="8"/>
      <c r="O850" s="8"/>
      <c r="P850" s="8"/>
      <c r="Q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13"/>
      <c r="K851" s="10"/>
      <c r="L851" s="8"/>
      <c r="M851" s="8"/>
      <c r="N851" s="8"/>
      <c r="O851" s="8"/>
      <c r="P851" s="8"/>
      <c r="Q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13"/>
      <c r="K852" s="10"/>
      <c r="L852" s="8"/>
      <c r="M852" s="8"/>
      <c r="N852" s="8"/>
      <c r="O852" s="8"/>
      <c r="P852" s="8"/>
      <c r="Q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13"/>
      <c r="K853" s="10"/>
      <c r="L853" s="8"/>
      <c r="M853" s="8"/>
      <c r="N853" s="8"/>
      <c r="O853" s="8"/>
      <c r="P853" s="8"/>
      <c r="Q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13"/>
      <c r="K854" s="10"/>
      <c r="L854" s="8"/>
      <c r="M854" s="8"/>
      <c r="N854" s="8"/>
      <c r="O854" s="8"/>
      <c r="P854" s="8"/>
      <c r="Q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13"/>
      <c r="K855" s="10"/>
      <c r="L855" s="8"/>
      <c r="M855" s="8"/>
      <c r="N855" s="8"/>
      <c r="O855" s="8"/>
      <c r="P855" s="8"/>
      <c r="Q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13"/>
      <c r="K856" s="10"/>
      <c r="L856" s="8"/>
      <c r="M856" s="8"/>
      <c r="N856" s="8"/>
      <c r="O856" s="8"/>
      <c r="P856" s="8"/>
      <c r="Q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13"/>
      <c r="K857" s="10"/>
      <c r="L857" s="8"/>
      <c r="M857" s="8"/>
      <c r="N857" s="8"/>
      <c r="O857" s="8"/>
      <c r="P857" s="8"/>
      <c r="Q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13"/>
      <c r="K858" s="10"/>
      <c r="L858" s="8"/>
      <c r="M858" s="8"/>
      <c r="N858" s="8"/>
      <c r="O858" s="8"/>
      <c r="P858" s="8"/>
      <c r="Q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13"/>
      <c r="K859" s="10"/>
      <c r="L859" s="8"/>
      <c r="M859" s="8"/>
      <c r="N859" s="8"/>
      <c r="O859" s="8"/>
      <c r="P859" s="8"/>
      <c r="Q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13"/>
      <c r="K860" s="10"/>
      <c r="L860" s="8"/>
      <c r="M860" s="8"/>
      <c r="N860" s="8"/>
      <c r="O860" s="8"/>
      <c r="P860" s="8"/>
      <c r="Q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13"/>
      <c r="K861" s="10"/>
      <c r="L861" s="8"/>
      <c r="M861" s="8"/>
      <c r="N861" s="8"/>
      <c r="O861" s="8"/>
      <c r="P861" s="8"/>
      <c r="Q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13"/>
      <c r="K862" s="10"/>
      <c r="L862" s="8"/>
      <c r="M862" s="8"/>
      <c r="N862" s="8"/>
      <c r="O862" s="8"/>
      <c r="P862" s="8"/>
      <c r="Q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13"/>
      <c r="K863" s="10"/>
      <c r="L863" s="8"/>
      <c r="M863" s="8"/>
      <c r="N863" s="8"/>
      <c r="O863" s="8"/>
      <c r="P863" s="8"/>
      <c r="Q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13"/>
      <c r="K864" s="10"/>
      <c r="L864" s="8"/>
      <c r="M864" s="8"/>
      <c r="N864" s="8"/>
      <c r="O864" s="8"/>
      <c r="P864" s="8"/>
      <c r="Q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13"/>
      <c r="K865" s="10"/>
      <c r="L865" s="8"/>
      <c r="M865" s="8"/>
      <c r="N865" s="8"/>
      <c r="O865" s="8"/>
      <c r="P865" s="8"/>
      <c r="Q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13"/>
      <c r="K866" s="10"/>
      <c r="L866" s="8"/>
      <c r="M866" s="8"/>
      <c r="N866" s="8"/>
      <c r="O866" s="8"/>
      <c r="P866" s="8"/>
      <c r="Q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13"/>
      <c r="K867" s="10"/>
      <c r="L867" s="8"/>
      <c r="M867" s="8"/>
      <c r="N867" s="8"/>
      <c r="O867" s="8"/>
      <c r="P867" s="8"/>
      <c r="Q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13"/>
      <c r="K868" s="10"/>
      <c r="L868" s="8"/>
      <c r="M868" s="8"/>
      <c r="N868" s="8"/>
      <c r="O868" s="8"/>
      <c r="P868" s="8"/>
      <c r="Q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13"/>
      <c r="K869" s="10"/>
      <c r="L869" s="8"/>
      <c r="M869" s="8"/>
      <c r="N869" s="8"/>
      <c r="O869" s="8"/>
      <c r="P869" s="8"/>
      <c r="Q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13"/>
      <c r="K870" s="10"/>
      <c r="L870" s="8"/>
      <c r="M870" s="8"/>
      <c r="N870" s="8"/>
      <c r="O870" s="8"/>
      <c r="P870" s="8"/>
      <c r="Q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13"/>
      <c r="K871" s="10"/>
      <c r="L871" s="8"/>
      <c r="M871" s="8"/>
      <c r="N871" s="8"/>
      <c r="O871" s="8"/>
      <c r="P871" s="8"/>
      <c r="Q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13"/>
      <c r="K872" s="10"/>
      <c r="L872" s="8"/>
      <c r="M872" s="8"/>
      <c r="N872" s="8"/>
      <c r="O872" s="8"/>
      <c r="P872" s="8"/>
      <c r="Q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13"/>
      <c r="K873" s="10"/>
      <c r="L873" s="8"/>
      <c r="M873" s="8"/>
      <c r="N873" s="8"/>
      <c r="O873" s="8"/>
      <c r="P873" s="8"/>
      <c r="Q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13"/>
      <c r="K874" s="10"/>
      <c r="L874" s="8"/>
      <c r="M874" s="8"/>
      <c r="N874" s="8"/>
      <c r="O874" s="8"/>
      <c r="P874" s="8"/>
      <c r="Q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13"/>
      <c r="K875" s="10"/>
      <c r="L875" s="8"/>
      <c r="M875" s="8"/>
      <c r="N875" s="8"/>
      <c r="O875" s="8"/>
      <c r="P875" s="8"/>
      <c r="Q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13"/>
      <c r="K876" s="10"/>
      <c r="L876" s="8"/>
      <c r="M876" s="8"/>
      <c r="N876" s="8"/>
      <c r="O876" s="8"/>
      <c r="P876" s="8"/>
      <c r="Q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13"/>
      <c r="K877" s="10"/>
      <c r="L877" s="8"/>
      <c r="M877" s="8"/>
      <c r="N877" s="8"/>
      <c r="O877" s="8"/>
      <c r="P877" s="8"/>
      <c r="Q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13"/>
      <c r="K878" s="10"/>
      <c r="L878" s="8"/>
      <c r="M878" s="8"/>
      <c r="N878" s="8"/>
      <c r="O878" s="8"/>
      <c r="P878" s="8"/>
      <c r="Q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13"/>
      <c r="K879" s="10"/>
      <c r="L879" s="8"/>
      <c r="M879" s="8"/>
      <c r="N879" s="8"/>
      <c r="O879" s="8"/>
      <c r="P879" s="8"/>
      <c r="Q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13"/>
      <c r="K880" s="10"/>
      <c r="L880" s="8"/>
      <c r="M880" s="8"/>
      <c r="N880" s="8"/>
      <c r="O880" s="8"/>
      <c r="P880" s="8"/>
      <c r="Q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13"/>
      <c r="K881" s="10"/>
      <c r="L881" s="8"/>
      <c r="M881" s="8"/>
      <c r="N881" s="8"/>
      <c r="O881" s="8"/>
      <c r="P881" s="8"/>
      <c r="Q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13"/>
      <c r="K882" s="10"/>
      <c r="L882" s="8"/>
      <c r="M882" s="8"/>
      <c r="N882" s="8"/>
      <c r="O882" s="8"/>
      <c r="P882" s="8"/>
      <c r="Q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13"/>
      <c r="K883" s="10"/>
      <c r="L883" s="8"/>
      <c r="M883" s="8"/>
      <c r="N883" s="8"/>
      <c r="O883" s="8"/>
      <c r="P883" s="8"/>
      <c r="Q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13"/>
      <c r="K884" s="10"/>
      <c r="L884" s="8"/>
      <c r="M884" s="8"/>
      <c r="N884" s="8"/>
      <c r="O884" s="8"/>
      <c r="P884" s="8"/>
      <c r="Q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13"/>
      <c r="K885" s="10"/>
      <c r="L885" s="8"/>
      <c r="M885" s="8"/>
      <c r="N885" s="8"/>
      <c r="O885" s="8"/>
      <c r="P885" s="8"/>
      <c r="Q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13"/>
      <c r="K886" s="10"/>
      <c r="L886" s="8"/>
      <c r="M886" s="8"/>
      <c r="N886" s="8"/>
      <c r="O886" s="8"/>
      <c r="P886" s="8"/>
      <c r="Q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13"/>
      <c r="K887" s="10"/>
      <c r="L887" s="8"/>
      <c r="M887" s="8"/>
      <c r="N887" s="8"/>
      <c r="O887" s="8"/>
      <c r="P887" s="8"/>
      <c r="Q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13"/>
      <c r="K888" s="10"/>
      <c r="L888" s="8"/>
      <c r="M888" s="8"/>
      <c r="N888" s="8"/>
      <c r="O888" s="8"/>
      <c r="P888" s="8"/>
      <c r="Q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13"/>
      <c r="K889" s="10"/>
      <c r="L889" s="8"/>
      <c r="M889" s="8"/>
      <c r="N889" s="8"/>
      <c r="O889" s="8"/>
      <c r="P889" s="8"/>
      <c r="Q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13"/>
      <c r="K890" s="10"/>
      <c r="L890" s="8"/>
      <c r="M890" s="8"/>
      <c r="N890" s="8"/>
      <c r="O890" s="8"/>
      <c r="P890" s="8"/>
      <c r="Q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13"/>
      <c r="K891" s="10"/>
      <c r="L891" s="8"/>
      <c r="M891" s="8"/>
      <c r="N891" s="8"/>
      <c r="O891" s="8"/>
      <c r="P891" s="8"/>
      <c r="Q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13"/>
      <c r="K892" s="10"/>
      <c r="L892" s="8"/>
      <c r="M892" s="8"/>
      <c r="N892" s="8"/>
      <c r="O892" s="8"/>
      <c r="P892" s="8"/>
      <c r="Q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13"/>
      <c r="K893" s="10"/>
      <c r="L893" s="8"/>
      <c r="M893" s="8"/>
      <c r="N893" s="8"/>
      <c r="O893" s="8"/>
      <c r="P893" s="8"/>
      <c r="Q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13"/>
      <c r="K894" s="10"/>
      <c r="L894" s="8"/>
      <c r="M894" s="8"/>
      <c r="N894" s="8"/>
      <c r="O894" s="8"/>
      <c r="P894" s="8"/>
      <c r="Q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13"/>
      <c r="K895" s="10"/>
      <c r="L895" s="8"/>
      <c r="M895" s="8"/>
      <c r="N895" s="8"/>
      <c r="O895" s="8"/>
      <c r="P895" s="8"/>
      <c r="Q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13"/>
      <c r="K896" s="10"/>
      <c r="L896" s="8"/>
      <c r="M896" s="8"/>
      <c r="N896" s="8"/>
      <c r="O896" s="8"/>
      <c r="P896" s="8"/>
      <c r="Q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13"/>
      <c r="K897" s="10"/>
      <c r="L897" s="8"/>
      <c r="M897" s="8"/>
      <c r="N897" s="8"/>
      <c r="O897" s="8"/>
      <c r="P897" s="8"/>
      <c r="Q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13"/>
      <c r="K898" s="10"/>
      <c r="L898" s="8"/>
      <c r="M898" s="8"/>
      <c r="N898" s="8"/>
      <c r="O898" s="8"/>
      <c r="P898" s="8"/>
      <c r="Q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13"/>
      <c r="K899" s="10"/>
      <c r="L899" s="8"/>
      <c r="M899" s="8"/>
      <c r="N899" s="8"/>
      <c r="O899" s="8"/>
      <c r="P899" s="8"/>
      <c r="Q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13"/>
      <c r="K900" s="10"/>
      <c r="L900" s="8"/>
      <c r="M900" s="8"/>
      <c r="N900" s="8"/>
      <c r="O900" s="8"/>
      <c r="P900" s="8"/>
      <c r="Q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13"/>
      <c r="K901" s="10"/>
      <c r="L901" s="8"/>
      <c r="M901" s="8"/>
      <c r="N901" s="8"/>
      <c r="O901" s="8"/>
      <c r="P901" s="8"/>
      <c r="Q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13"/>
      <c r="K902" s="10"/>
      <c r="L902" s="8"/>
      <c r="M902" s="8"/>
      <c r="N902" s="8"/>
      <c r="O902" s="8"/>
      <c r="P902" s="8"/>
      <c r="Q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13"/>
      <c r="K903" s="10"/>
      <c r="L903" s="8"/>
      <c r="M903" s="8"/>
      <c r="N903" s="8"/>
      <c r="O903" s="8"/>
      <c r="P903" s="8"/>
      <c r="Q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13"/>
      <c r="K904" s="10"/>
      <c r="L904" s="8"/>
      <c r="M904" s="8"/>
      <c r="N904" s="8"/>
      <c r="O904" s="8"/>
      <c r="P904" s="8"/>
      <c r="Q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13"/>
      <c r="K905" s="10"/>
      <c r="L905" s="8"/>
      <c r="M905" s="8"/>
      <c r="N905" s="8"/>
      <c r="O905" s="8"/>
      <c r="P905" s="8"/>
      <c r="Q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13"/>
      <c r="K906" s="10"/>
      <c r="L906" s="8"/>
      <c r="M906" s="8"/>
      <c r="N906" s="8"/>
      <c r="O906" s="8"/>
      <c r="P906" s="8"/>
      <c r="Q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13"/>
      <c r="K907" s="10"/>
      <c r="L907" s="8"/>
      <c r="M907" s="8"/>
      <c r="N907" s="8"/>
      <c r="O907" s="8"/>
      <c r="P907" s="8"/>
      <c r="Q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13"/>
      <c r="K908" s="10"/>
      <c r="L908" s="8"/>
      <c r="M908" s="8"/>
      <c r="N908" s="8"/>
      <c r="O908" s="8"/>
      <c r="P908" s="8"/>
      <c r="Q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13"/>
      <c r="K909" s="10"/>
      <c r="L909" s="8"/>
      <c r="M909" s="8"/>
      <c r="N909" s="8"/>
      <c r="O909" s="8"/>
      <c r="P909" s="8"/>
      <c r="Q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13"/>
      <c r="K910" s="10"/>
      <c r="L910" s="8"/>
      <c r="M910" s="8"/>
      <c r="N910" s="8"/>
      <c r="O910" s="8"/>
      <c r="P910" s="8"/>
      <c r="Q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13"/>
      <c r="K911" s="10"/>
      <c r="L911" s="8"/>
      <c r="M911" s="8"/>
      <c r="N911" s="8"/>
      <c r="O911" s="8"/>
      <c r="P911" s="8"/>
      <c r="Q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13"/>
      <c r="K912" s="10"/>
      <c r="L912" s="8"/>
      <c r="M912" s="8"/>
      <c r="N912" s="8"/>
      <c r="O912" s="8"/>
      <c r="P912" s="8"/>
      <c r="Q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13"/>
      <c r="K913" s="10"/>
      <c r="L913" s="8"/>
      <c r="M913" s="8"/>
      <c r="N913" s="8"/>
      <c r="O913" s="8"/>
      <c r="P913" s="8"/>
      <c r="Q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13"/>
      <c r="K914" s="10"/>
      <c r="L914" s="8"/>
      <c r="M914" s="8"/>
      <c r="N914" s="8"/>
      <c r="O914" s="8"/>
      <c r="P914" s="8"/>
      <c r="Q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13"/>
      <c r="K915" s="10"/>
      <c r="L915" s="8"/>
      <c r="M915" s="8"/>
      <c r="N915" s="8"/>
      <c r="O915" s="8"/>
      <c r="P915" s="8"/>
      <c r="Q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13"/>
      <c r="K916" s="10"/>
      <c r="L916" s="8"/>
      <c r="M916" s="8"/>
      <c r="N916" s="8"/>
      <c r="O916" s="8"/>
      <c r="P916" s="8"/>
      <c r="Q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13"/>
      <c r="K917" s="10"/>
      <c r="L917" s="8"/>
      <c r="M917" s="8"/>
      <c r="N917" s="8"/>
      <c r="O917" s="8"/>
      <c r="P917" s="8"/>
      <c r="Q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13"/>
      <c r="K918" s="10"/>
      <c r="L918" s="8"/>
      <c r="M918" s="8"/>
      <c r="N918" s="8"/>
      <c r="O918" s="8"/>
      <c r="P918" s="8"/>
      <c r="Q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13"/>
      <c r="K919" s="10"/>
      <c r="L919" s="8"/>
      <c r="M919" s="8"/>
      <c r="N919" s="8"/>
      <c r="O919" s="8"/>
      <c r="P919" s="8"/>
      <c r="Q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13"/>
      <c r="K920" s="10"/>
      <c r="L920" s="8"/>
      <c r="M920" s="8"/>
      <c r="N920" s="8"/>
      <c r="O920" s="8"/>
      <c r="P920" s="8"/>
      <c r="Q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13"/>
      <c r="K921" s="10"/>
      <c r="L921" s="8"/>
      <c r="M921" s="8"/>
      <c r="N921" s="8"/>
      <c r="O921" s="8"/>
      <c r="P921" s="8"/>
      <c r="Q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13"/>
      <c r="K922" s="10"/>
      <c r="L922" s="8"/>
      <c r="M922" s="8"/>
      <c r="N922" s="8"/>
      <c r="O922" s="8"/>
      <c r="P922" s="8"/>
      <c r="Q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13"/>
      <c r="K923" s="10"/>
      <c r="L923" s="8"/>
      <c r="M923" s="8"/>
      <c r="N923" s="8"/>
      <c r="O923" s="8"/>
      <c r="P923" s="8"/>
      <c r="Q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13"/>
      <c r="K924" s="10"/>
      <c r="L924" s="8"/>
      <c r="M924" s="8"/>
      <c r="N924" s="8"/>
      <c r="O924" s="8"/>
      <c r="P924" s="8"/>
      <c r="Q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13"/>
      <c r="K925" s="10"/>
      <c r="L925" s="8"/>
      <c r="M925" s="8"/>
      <c r="N925" s="8"/>
      <c r="O925" s="8"/>
      <c r="P925" s="8"/>
      <c r="Q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13"/>
      <c r="K926" s="10"/>
      <c r="L926" s="8"/>
      <c r="M926" s="8"/>
      <c r="N926" s="8"/>
      <c r="O926" s="8"/>
      <c r="P926" s="8"/>
      <c r="Q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13"/>
      <c r="K927" s="10"/>
      <c r="L927" s="8"/>
      <c r="M927" s="8"/>
      <c r="N927" s="8"/>
      <c r="O927" s="8"/>
      <c r="P927" s="8"/>
      <c r="Q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13"/>
      <c r="K928" s="10"/>
      <c r="L928" s="8"/>
      <c r="M928" s="8"/>
      <c r="N928" s="8"/>
      <c r="O928" s="8"/>
      <c r="P928" s="8"/>
      <c r="Q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13"/>
      <c r="K929" s="10"/>
      <c r="L929" s="8"/>
      <c r="M929" s="8"/>
      <c r="N929" s="8"/>
      <c r="O929" s="8"/>
      <c r="P929" s="8"/>
      <c r="Q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13"/>
      <c r="K930" s="10"/>
      <c r="L930" s="8"/>
      <c r="M930" s="8"/>
      <c r="N930" s="8"/>
      <c r="O930" s="8"/>
      <c r="P930" s="8"/>
      <c r="Q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13"/>
      <c r="K931" s="10"/>
      <c r="L931" s="8"/>
      <c r="M931" s="8"/>
      <c r="N931" s="8"/>
      <c r="O931" s="8"/>
      <c r="P931" s="8"/>
      <c r="Q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13"/>
      <c r="K932" s="10"/>
      <c r="L932" s="8"/>
      <c r="M932" s="8"/>
      <c r="N932" s="8"/>
      <c r="O932" s="8"/>
      <c r="P932" s="8"/>
      <c r="Q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13"/>
      <c r="K933" s="10"/>
      <c r="L933" s="8"/>
      <c r="M933" s="8"/>
      <c r="N933" s="8"/>
      <c r="O933" s="8"/>
      <c r="P933" s="8"/>
      <c r="Q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13"/>
      <c r="K934" s="10"/>
      <c r="L934" s="8"/>
      <c r="M934" s="8"/>
      <c r="N934" s="8"/>
      <c r="O934" s="8"/>
      <c r="P934" s="8"/>
      <c r="Q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13"/>
      <c r="K935" s="10"/>
      <c r="L935" s="8"/>
      <c r="M935" s="8"/>
      <c r="N935" s="8"/>
      <c r="O935" s="8"/>
      <c r="P935" s="8"/>
      <c r="Q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13"/>
      <c r="K936" s="10"/>
      <c r="L936" s="8"/>
      <c r="M936" s="8"/>
      <c r="N936" s="8"/>
      <c r="O936" s="8"/>
      <c r="P936" s="8"/>
      <c r="Q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13"/>
      <c r="K937" s="10"/>
      <c r="L937" s="8"/>
      <c r="M937" s="8"/>
      <c r="N937" s="8"/>
      <c r="O937" s="8"/>
      <c r="P937" s="8"/>
      <c r="Q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13"/>
      <c r="K938" s="10"/>
      <c r="L938" s="8"/>
      <c r="M938" s="8"/>
      <c r="N938" s="8"/>
      <c r="O938" s="8"/>
      <c r="P938" s="8"/>
      <c r="Q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13"/>
      <c r="K939" s="10"/>
      <c r="L939" s="8"/>
      <c r="M939" s="8"/>
      <c r="N939" s="8"/>
      <c r="O939" s="8"/>
      <c r="P939" s="8"/>
      <c r="Q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13"/>
      <c r="K940" s="10"/>
      <c r="L940" s="8"/>
      <c r="M940" s="8"/>
      <c r="N940" s="8"/>
      <c r="O940" s="8"/>
      <c r="P940" s="8"/>
      <c r="Q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13"/>
      <c r="K941" s="10"/>
      <c r="L941" s="8"/>
      <c r="M941" s="8"/>
      <c r="N941" s="8"/>
      <c r="O941" s="8"/>
      <c r="P941" s="8"/>
      <c r="Q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13"/>
      <c r="K942" s="10"/>
      <c r="L942" s="8"/>
      <c r="M942" s="8"/>
      <c r="N942" s="8"/>
      <c r="O942" s="8"/>
      <c r="P942" s="8"/>
      <c r="Q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13"/>
      <c r="K943" s="10"/>
      <c r="L943" s="8"/>
      <c r="M943" s="8"/>
      <c r="N943" s="8"/>
      <c r="O943" s="8"/>
      <c r="P943" s="8"/>
      <c r="Q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13"/>
      <c r="K944" s="10"/>
      <c r="L944" s="8"/>
      <c r="M944" s="8"/>
      <c r="N944" s="8"/>
      <c r="O944" s="8"/>
      <c r="P944" s="8"/>
      <c r="Q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13"/>
      <c r="K945" s="10"/>
      <c r="L945" s="8"/>
      <c r="M945" s="8"/>
      <c r="N945" s="8"/>
      <c r="O945" s="8"/>
      <c r="P945" s="8"/>
      <c r="Q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13"/>
      <c r="K946" s="10"/>
      <c r="L946" s="8"/>
      <c r="M946" s="8"/>
      <c r="N946" s="8"/>
      <c r="O946" s="8"/>
      <c r="P946" s="8"/>
      <c r="Q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13"/>
      <c r="K947" s="10"/>
      <c r="L947" s="8"/>
      <c r="M947" s="8"/>
      <c r="N947" s="8"/>
      <c r="O947" s="8"/>
      <c r="P947" s="8"/>
      <c r="Q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13"/>
      <c r="K948" s="10"/>
      <c r="L948" s="8"/>
      <c r="M948" s="8"/>
      <c r="N948" s="8"/>
      <c r="O948" s="8"/>
      <c r="P948" s="8"/>
      <c r="Q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13"/>
      <c r="K949" s="10"/>
      <c r="L949" s="8"/>
      <c r="M949" s="8"/>
      <c r="N949" s="8"/>
      <c r="O949" s="8"/>
      <c r="P949" s="8"/>
      <c r="Q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13"/>
      <c r="K950" s="10"/>
      <c r="L950" s="8"/>
      <c r="M950" s="8"/>
      <c r="N950" s="8"/>
      <c r="O950" s="8"/>
      <c r="P950" s="8"/>
      <c r="Q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13"/>
      <c r="K951" s="10"/>
      <c r="L951" s="8"/>
      <c r="M951" s="8"/>
      <c r="N951" s="8"/>
      <c r="O951" s="8"/>
      <c r="P951" s="8"/>
      <c r="Q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13"/>
      <c r="K952" s="10"/>
      <c r="L952" s="8"/>
      <c r="M952" s="8"/>
      <c r="N952" s="8"/>
      <c r="O952" s="8"/>
      <c r="P952" s="8"/>
      <c r="Q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13"/>
      <c r="K953" s="10"/>
      <c r="L953" s="8"/>
      <c r="M953" s="8"/>
      <c r="N953" s="8"/>
      <c r="O953" s="8"/>
      <c r="P953" s="8"/>
      <c r="Q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13"/>
      <c r="K954" s="10"/>
      <c r="L954" s="8"/>
      <c r="M954" s="8"/>
      <c r="N954" s="8"/>
      <c r="O954" s="8"/>
      <c r="P954" s="8"/>
      <c r="Q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13"/>
      <c r="K955" s="10"/>
      <c r="L955" s="8"/>
      <c r="M955" s="8"/>
      <c r="N955" s="8"/>
      <c r="O955" s="8"/>
      <c r="P955" s="8"/>
      <c r="Q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13"/>
      <c r="K956" s="10"/>
      <c r="L956" s="8"/>
      <c r="M956" s="8"/>
      <c r="N956" s="8"/>
      <c r="O956" s="8"/>
      <c r="P956" s="8"/>
      <c r="Q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13"/>
      <c r="K957" s="10"/>
      <c r="L957" s="8"/>
      <c r="M957" s="8"/>
      <c r="N957" s="8"/>
      <c r="O957" s="8"/>
      <c r="P957" s="8"/>
      <c r="Q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13"/>
      <c r="K958" s="10"/>
      <c r="L958" s="8"/>
      <c r="M958" s="8"/>
      <c r="N958" s="8"/>
      <c r="O958" s="8"/>
      <c r="P958" s="8"/>
      <c r="Q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13"/>
      <c r="K959" s="10"/>
      <c r="L959" s="8"/>
      <c r="M959" s="8"/>
      <c r="N959" s="8"/>
      <c r="O959" s="8"/>
      <c r="P959" s="8"/>
      <c r="Q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13"/>
      <c r="K960" s="10"/>
      <c r="L960" s="8"/>
      <c r="M960" s="8"/>
      <c r="N960" s="8"/>
      <c r="O960" s="8"/>
      <c r="P960" s="8"/>
      <c r="Q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13"/>
      <c r="K961" s="10"/>
      <c r="L961" s="8"/>
      <c r="M961" s="8"/>
      <c r="N961" s="8"/>
      <c r="O961" s="8"/>
      <c r="P961" s="8"/>
      <c r="Q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13"/>
      <c r="K962" s="10"/>
      <c r="L962" s="8"/>
      <c r="M962" s="8"/>
      <c r="N962" s="8"/>
      <c r="O962" s="8"/>
      <c r="P962" s="8"/>
      <c r="Q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13"/>
      <c r="K963" s="10"/>
      <c r="L963" s="8"/>
      <c r="M963" s="8"/>
      <c r="N963" s="8"/>
      <c r="O963" s="8"/>
      <c r="P963" s="8"/>
      <c r="Q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13"/>
      <c r="K964" s="10"/>
      <c r="L964" s="8"/>
      <c r="M964" s="8"/>
      <c r="N964" s="8"/>
      <c r="O964" s="8"/>
      <c r="P964" s="8"/>
      <c r="Q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13"/>
      <c r="K965" s="10"/>
      <c r="L965" s="8"/>
      <c r="M965" s="8"/>
      <c r="N965" s="8"/>
      <c r="O965" s="8"/>
      <c r="P965" s="8"/>
      <c r="Q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13"/>
      <c r="K966" s="10"/>
      <c r="L966" s="8"/>
      <c r="M966" s="8"/>
      <c r="N966" s="8"/>
      <c r="O966" s="8"/>
      <c r="P966" s="8"/>
      <c r="Q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13"/>
      <c r="K967" s="10"/>
      <c r="L967" s="8"/>
      <c r="M967" s="8"/>
      <c r="N967" s="8"/>
      <c r="O967" s="8"/>
      <c r="P967" s="8"/>
      <c r="Q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13"/>
      <c r="K968" s="10"/>
      <c r="L968" s="8"/>
      <c r="M968" s="8"/>
      <c r="N968" s="8"/>
      <c r="O968" s="8"/>
      <c r="P968" s="8"/>
      <c r="Q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13"/>
      <c r="K969" s="10"/>
      <c r="L969" s="8"/>
      <c r="M969" s="8"/>
      <c r="N969" s="8"/>
      <c r="O969" s="8"/>
      <c r="P969" s="8"/>
      <c r="Q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13"/>
      <c r="K970" s="10"/>
      <c r="L970" s="8"/>
      <c r="M970" s="8"/>
      <c r="N970" s="8"/>
      <c r="O970" s="8"/>
      <c r="P970" s="8"/>
      <c r="Q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13"/>
      <c r="K971" s="10"/>
      <c r="L971" s="8"/>
      <c r="M971" s="8"/>
      <c r="N971" s="8"/>
      <c r="O971" s="8"/>
      <c r="P971" s="8"/>
      <c r="Q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13"/>
      <c r="K972" s="10"/>
      <c r="L972" s="8"/>
      <c r="M972" s="8"/>
      <c r="N972" s="8"/>
      <c r="O972" s="8"/>
      <c r="P972" s="8"/>
      <c r="Q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13"/>
      <c r="K973" s="10"/>
      <c r="L973" s="8"/>
      <c r="M973" s="8"/>
      <c r="N973" s="8"/>
      <c r="O973" s="8"/>
      <c r="P973" s="8"/>
      <c r="Q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13"/>
      <c r="K974" s="10"/>
      <c r="L974" s="8"/>
      <c r="M974" s="8"/>
      <c r="N974" s="8"/>
      <c r="O974" s="8"/>
      <c r="P974" s="8"/>
      <c r="Q974" s="8"/>
    </row>
  </sheetData>
  <autoFilter ref="$A$1:$I$26">
    <sortState ref="A1:I26">
      <sortCondition descending="1" ref="H1:H26"/>
    </sortState>
  </autoFilter>
  <mergeCells count="2">
    <mergeCell ref="A29:D29"/>
    <mergeCell ref="A37:H37"/>
  </mergeCells>
  <conditionalFormatting sqref="H2:H26">
    <cfRule type="cellIs" dxfId="0" priority="1" operator="greaterThan">
      <formula>1000</formula>
    </cfRule>
  </conditionalFormatting>
  <conditionalFormatting sqref="H2:H26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A2:A26">
    <cfRule type="expression" dxfId="1" priority="3">
      <formula>COUNTIF(A$2:A$26, A2)&gt;1</formula>
    </cfRule>
  </conditionalFormatting>
  <conditionalFormatting sqref="K1:K974">
    <cfRule type="colorScale" priority="4">
      <colorScale>
        <cfvo type="min"/>
        <cfvo type="max"/>
        <color rgb="FFFFFFFF"/>
        <color rgb="FF57BB8A"/>
      </colorScale>
    </cfRule>
  </conditionalFormatting>
  <conditionalFormatting sqref="F38:F63">
    <cfRule type="colorScale" priority="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printOptions/>
  <pageMargins bottom="1.0" footer="0.0" header="0.0" left="0.75" right="0.75" top="1.0"/>
  <pageSetup orientation="landscape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1.0"/>
    <col customWidth="1" min="2" max="2" width="440.43"/>
    <col customWidth="1" min="3" max="26" width="8.71"/>
  </cols>
  <sheetData>
    <row r="1">
      <c r="A1" s="21" t="s">
        <v>66</v>
      </c>
      <c r="B1" s="22" t="s">
        <v>67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23" t="s">
        <v>68</v>
      </c>
      <c r="B2" s="24" t="s">
        <v>69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23" t="s">
        <v>70</v>
      </c>
      <c r="B3" s="24" t="s">
        <v>71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23" t="s">
        <v>72</v>
      </c>
      <c r="B4" s="25" t="s">
        <v>73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23" t="s">
        <v>74</v>
      </c>
      <c r="B5" s="25" t="s">
        <v>75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>
      <c r="A6" s="23" t="s">
        <v>76</v>
      </c>
      <c r="B6" s="25" t="s">
        <v>77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>
      <c r="A7" s="23" t="s">
        <v>78</v>
      </c>
      <c r="B7" s="25" t="s">
        <v>79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>
      <c r="A8" s="23" t="s">
        <v>80</v>
      </c>
      <c r="B8" s="25" t="s">
        <v>81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23" t="s">
        <v>82</v>
      </c>
      <c r="B9" s="25" t="s">
        <v>83</v>
      </c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>
      <c r="A10" s="23" t="s">
        <v>84</v>
      </c>
      <c r="B10" s="25" t="s">
        <v>85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23" t="s">
        <v>86</v>
      </c>
      <c r="B11" s="24" t="s">
        <v>87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23" t="s">
        <v>88</v>
      </c>
      <c r="B12" s="24" t="s">
        <v>89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23" t="s">
        <v>90</v>
      </c>
      <c r="B13" s="24" t="s">
        <v>91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23" t="s">
        <v>92</v>
      </c>
      <c r="B14" s="24" t="s">
        <v>93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23" t="s">
        <v>94</v>
      </c>
      <c r="B15" s="24" t="s">
        <v>95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23" t="s">
        <v>96</v>
      </c>
      <c r="B16" s="24" t="s">
        <v>97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23" t="s">
        <v>98</v>
      </c>
      <c r="B17" s="24" t="s">
        <v>99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23" t="s">
        <v>100</v>
      </c>
      <c r="B18" s="24" t="s">
        <v>101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23" t="s">
        <v>102</v>
      </c>
      <c r="B19" s="24" t="s">
        <v>103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23" t="s">
        <v>104</v>
      </c>
      <c r="B20" s="24" t="s">
        <v>105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ht="15.75" customHeight="1">
      <c r="A21" s="23" t="s">
        <v>106</v>
      </c>
      <c r="B21" s="24" t="s">
        <v>107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ht="15.75" customHeight="1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ht="15.75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ht="15.75" customHeight="1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ht="15.75" customHeight="1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ht="15.75" customHeight="1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15.75" customHeight="1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ht="15.75" customHeight="1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t="15.75" customHeigh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ht="15.75" customHeight="1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t="15.75" customHeight="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t="15.75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t="15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t="15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ht="15.75" customHeight="1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ht="15.75" customHeigh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ht="15.75" customHeight="1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ht="15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ht="15.75" customHeight="1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ht="15.75" customHeight="1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ht="15.75" customHeight="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ht="15.75" customHeight="1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ht="15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ht="15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ht="15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ht="15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ht="15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ht="15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ht="15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ht="15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ht="15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ht="15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ht="15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ht="15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ht="15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ht="15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ht="15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ht="15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ht="15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ht="15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ht="15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ht="15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ht="15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ht="15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ht="15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ht="15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ht="15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ht="15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ht="15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ht="15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ht="15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ht="15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ht="15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ht="15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ht="15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ht="15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ht="15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ht="15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ht="15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ht="15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ht="15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ht="15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ht="15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ht="15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ht="15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ht="15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ht="15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ht="15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ht="15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ht="15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ht="15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ht="15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ht="15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ht="15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ht="15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ht="15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ht="15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ht="15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ht="15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ht="15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ht="15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ht="15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ht="15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ht="15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ht="15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ht="15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ht="15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ht="15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ht="15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ht="15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ht="15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ht="15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ht="15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ht="15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ht="15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ht="15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ht="15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ht="15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ht="15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ht="15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ht="15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ht="15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ht="15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ht="15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ht="15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ht="15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ht="15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ht="15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ht="15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ht="15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ht="15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ht="15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ht="15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ht="15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ht="15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ht="15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ht="15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ht="15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ht="15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ht="15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ht="15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ht="15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ht="15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ht="15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ht="15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ht="15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ht="15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ht="15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ht="15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ht="15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ht="15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ht="15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ht="15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ht="15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ht="15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ht="15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ht="15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ht="15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ht="15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ht="15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ht="15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ht="15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ht="15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ht="15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ht="15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ht="15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ht="15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ht="15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ht="15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ht="15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ht="15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ht="15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ht="15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ht="15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ht="15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ht="15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ht="15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ht="15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ht="15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ht="15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ht="15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ht="15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ht="15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ht="15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ht="15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ht="15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ht="15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ht="15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ht="15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ht="15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ht="15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ht="15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ht="15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ht="15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ht="15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ht="15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ht="15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ht="15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ht="15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ht="15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ht="15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ht="15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ht="15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ht="15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ht="15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ht="15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ht="15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ht="15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ht="15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ht="15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ht="15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ht="15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ht="15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ht="15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ht="15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ht="15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ht="15.75" customHeight="1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ht="15.75" customHeight="1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ht="15.75" customHeight="1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ht="15.75" customHeight="1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ht="15.75" customHeight="1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ht="15.75" customHeight="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ht="15.75" customHeight="1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ht="15.75" customHeight="1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ht="15.75" customHeight="1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ht="15.75" customHeight="1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ht="15.75" customHeight="1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ht="15.75" customHeight="1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ht="15.75" customHeight="1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ht="15.75" customHeight="1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ht="15.75" customHeight="1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ht="15.75" customHeight="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ht="15.75" customHeight="1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ht="15.75" customHeight="1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ht="15.75" customHeight="1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ht="15.75" customHeight="1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ht="15.75" customHeight="1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ht="15.75" customHeight="1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ht="15.75" customHeight="1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ht="15.75" customHeight="1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ht="15.75" customHeight="1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ht="15.75" customHeight="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ht="15.75" customHeight="1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ht="15.75" customHeight="1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ht="15.75" customHeight="1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ht="15.75" customHeight="1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ht="15.75" customHeight="1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ht="15.75" customHeight="1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ht="15.75" customHeight="1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ht="15.75" customHeight="1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ht="15.75" customHeight="1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ht="15.75" customHeight="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ht="15.75" customHeight="1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ht="15.75" customHeight="1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ht="15.75" customHeight="1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ht="15.75" customHeight="1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ht="15.75" customHeight="1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ht="15.75" customHeight="1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ht="15.75" customHeight="1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ht="15.75" customHeight="1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ht="15.75" customHeight="1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ht="15.75" customHeight="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ht="15.75" customHeight="1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ht="15.75" customHeight="1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ht="15.75" customHeight="1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ht="15.75" customHeight="1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ht="15.75" customHeight="1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ht="15.75" customHeight="1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ht="15.75" customHeight="1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ht="15.75" customHeight="1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ht="15.75" customHeight="1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ht="15.75" customHeight="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ht="15.75" customHeight="1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ht="15.75" customHeight="1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ht="15.75" customHeight="1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ht="15.75" customHeight="1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ht="15.75" customHeight="1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ht="15.75" customHeight="1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ht="15.75" customHeight="1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ht="15.75" customHeight="1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ht="15.75" customHeight="1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ht="15.75" customHeight="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ht="15.75" customHeight="1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ht="15.75" customHeight="1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ht="15.75" customHeight="1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ht="15.75" customHeight="1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ht="15.75" customHeight="1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ht="15.75" customHeight="1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ht="15.75" customHeight="1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ht="15.75" customHeight="1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ht="15.75" customHeight="1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ht="15.75" customHeight="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ht="15.75" customHeight="1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ht="15.75" customHeight="1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ht="15.75" customHeight="1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ht="15.75" customHeight="1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ht="15.75" customHeight="1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ht="15.75" customHeight="1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ht="15.75" customHeight="1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ht="15.75" customHeight="1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ht="15.75" customHeight="1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ht="15.75" customHeight="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ht="15.75" customHeight="1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ht="15.75" customHeight="1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ht="15.75" customHeight="1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ht="15.75" customHeight="1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ht="15.75" customHeight="1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ht="15.75" customHeight="1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ht="15.75" customHeight="1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ht="15.75" customHeight="1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ht="15.75" customHeight="1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ht="15.75" customHeight="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ht="15.75" customHeight="1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ht="15.75" customHeight="1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ht="15.75" customHeight="1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ht="15.75" customHeight="1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ht="15.75" customHeight="1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ht="15.75" customHeight="1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ht="15.75" customHeight="1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ht="15.75" customHeight="1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ht="15.75" customHeight="1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ht="15.75" customHeight="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ht="15.75" customHeight="1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ht="15.75" customHeight="1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ht="15.75" customHeight="1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ht="15.75" customHeight="1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ht="15.75" customHeight="1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ht="15.75" customHeight="1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ht="15.75" customHeight="1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ht="15.75" customHeight="1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ht="15.75" customHeight="1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ht="15.75" customHeight="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ht="15.75" customHeight="1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ht="15.75" customHeight="1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ht="15.75" customHeight="1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ht="15.75" customHeight="1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ht="15.75" customHeight="1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ht="15.75" customHeight="1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ht="15.75" customHeight="1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ht="15.75" customHeight="1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ht="15.75" customHeight="1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ht="15.75" customHeight="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ht="15.75" customHeight="1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ht="15.75" customHeight="1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ht="15.75" customHeight="1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ht="15.75" customHeight="1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ht="15.75" customHeight="1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ht="15.75" customHeight="1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ht="15.75" customHeight="1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ht="15.75" customHeight="1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ht="15.75" customHeight="1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ht="15.75" customHeight="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ht="15.75" customHeight="1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ht="15.75" customHeight="1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ht="15.75" customHeight="1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ht="15.75" customHeight="1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ht="15.75" customHeight="1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ht="15.75" customHeight="1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ht="15.75" customHeight="1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ht="15.75" customHeight="1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ht="15.75" customHeight="1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ht="15.75" customHeight="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ht="15.75" customHeight="1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ht="15.75" customHeight="1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ht="15.75" customHeight="1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ht="15.75" customHeight="1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ht="15.75" customHeight="1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ht="15.75" customHeight="1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ht="15.75" customHeight="1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ht="15.75" customHeight="1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ht="15.75" customHeight="1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ht="15.75" customHeight="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ht="15.75" customHeight="1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ht="15.75" customHeight="1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ht="15.75" customHeight="1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ht="15.75" customHeight="1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ht="15.75" customHeight="1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ht="15.75" customHeight="1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ht="15.75" customHeight="1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ht="15.75" customHeight="1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ht="15.75" customHeight="1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ht="15.75" customHeight="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ht="15.75" customHeight="1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ht="15.75" customHeight="1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ht="15.75" customHeight="1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ht="15.75" customHeight="1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ht="15.75" customHeight="1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ht="15.75" customHeight="1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ht="15.75" customHeight="1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ht="15.75" customHeight="1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ht="15.75" customHeight="1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ht="15.75" customHeight="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ht="15.75" customHeight="1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ht="15.75" customHeight="1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ht="15.75" customHeight="1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ht="15.75" customHeight="1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ht="15.75" customHeight="1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ht="15.75" customHeight="1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ht="15.75" customHeight="1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ht="15.75" customHeight="1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ht="15.75" customHeight="1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ht="15.75" customHeight="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ht="15.75" customHeight="1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ht="15.75" customHeight="1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ht="15.75" customHeight="1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ht="15.75" customHeight="1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ht="15.75" customHeight="1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ht="15.75" customHeight="1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ht="15.75" customHeight="1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ht="15.75" customHeight="1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ht="15.75" customHeight="1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ht="15.75" customHeight="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ht="15.75" customHeight="1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ht="15.75" customHeight="1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ht="15.75" customHeight="1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ht="15.75" customHeight="1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ht="15.75" customHeight="1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ht="15.75" customHeight="1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ht="15.75" customHeight="1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ht="15.75" customHeight="1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ht="15.75" customHeight="1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ht="15.75" customHeight="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ht="15.75" customHeight="1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ht="15.75" customHeight="1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ht="15.75" customHeight="1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ht="15.75" customHeight="1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ht="15.75" customHeight="1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ht="15.75" customHeight="1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ht="15.75" customHeight="1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ht="15.75" customHeight="1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ht="15.75" customHeight="1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ht="15.75" customHeight="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ht="15.75" customHeight="1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ht="15.75" customHeight="1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ht="15.75" customHeight="1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ht="15.75" customHeight="1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ht="15.75" customHeight="1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ht="15.75" customHeight="1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ht="15.75" customHeight="1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ht="15.75" customHeight="1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ht="15.75" customHeight="1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ht="15.75" customHeight="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ht="15.75" customHeight="1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ht="15.75" customHeight="1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ht="15.75" customHeight="1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ht="15.75" customHeight="1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ht="15.75" customHeight="1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ht="15.75" customHeight="1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ht="15.75" customHeight="1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ht="15.75" customHeight="1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ht="15.75" customHeight="1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ht="15.75" customHeight="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ht="15.75" customHeight="1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ht="15.75" customHeight="1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ht="15.75" customHeight="1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ht="15.75" customHeight="1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ht="15.75" customHeight="1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ht="15.75" customHeight="1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ht="15.75" customHeight="1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ht="15.75" customHeight="1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ht="15.75" customHeight="1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ht="15.75" customHeight="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ht="15.75" customHeight="1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ht="15.75" customHeight="1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ht="15.75" customHeight="1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ht="15.75" customHeight="1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ht="15.75" customHeight="1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ht="15.75" customHeight="1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ht="15.75" customHeight="1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ht="15.75" customHeight="1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ht="15.75" customHeight="1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ht="15.75" customHeight="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ht="15.75" customHeight="1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ht="15.75" customHeight="1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ht="15.75" customHeight="1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ht="15.75" customHeight="1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ht="15.75" customHeight="1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ht="15.75" customHeight="1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ht="15.75" customHeight="1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ht="15.75" customHeight="1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ht="15.75" customHeight="1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ht="15.75" customHeight="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ht="15.75" customHeight="1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ht="15.75" customHeight="1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ht="15.75" customHeight="1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ht="15.75" customHeight="1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ht="15.75" customHeight="1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ht="15.75" customHeight="1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ht="15.75" customHeight="1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ht="15.75" customHeight="1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ht="15.75" customHeight="1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ht="15.75" customHeight="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ht="15.75" customHeight="1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ht="15.75" customHeight="1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ht="15.75" customHeight="1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ht="15.75" customHeight="1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ht="15.75" customHeight="1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ht="15.75" customHeight="1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ht="15.75" customHeight="1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ht="15.75" customHeight="1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ht="15.75" customHeight="1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ht="15.75" customHeight="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ht="15.75" customHeight="1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ht="15.75" customHeight="1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ht="15.75" customHeight="1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ht="15.75" customHeight="1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ht="15.75" customHeight="1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ht="15.75" customHeight="1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ht="15.75" customHeight="1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ht="15.75" customHeight="1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ht="15.75" customHeight="1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ht="15.75" customHeight="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ht="15.75" customHeight="1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ht="15.75" customHeight="1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ht="15.75" customHeight="1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ht="15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ht="15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ht="15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ht="15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ht="15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ht="15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ht="15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ht="15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ht="15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ht="15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ht="15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ht="15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ht="15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ht="15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ht="15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ht="15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ht="15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ht="15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ht="15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ht="15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ht="15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ht="15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ht="15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ht="15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ht="15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ht="15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ht="15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ht="15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ht="15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ht="15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ht="15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ht="15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ht="15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ht="15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ht="15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ht="15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ht="15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ht="15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ht="15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ht="15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ht="15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ht="15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ht="15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ht="15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ht="15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ht="15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ht="15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ht="15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ht="15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ht="15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ht="15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ht="15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ht="15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ht="15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ht="15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ht="15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ht="15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ht="15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ht="15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ht="15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ht="15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ht="15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ht="15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ht="15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ht="15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ht="15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ht="15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ht="15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ht="15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ht="15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ht="15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ht="15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ht="15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ht="15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ht="15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ht="15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ht="15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ht="15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ht="15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ht="15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ht="15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ht="15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ht="15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ht="15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ht="15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ht="15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ht="15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ht="15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ht="15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ht="15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ht="15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ht="15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ht="15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ht="15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ht="15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ht="15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ht="15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ht="15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ht="15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ht="15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ht="15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ht="15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ht="15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ht="15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ht="15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ht="15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ht="15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ht="15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ht="15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ht="15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ht="15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ht="15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ht="15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ht="15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ht="15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ht="15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ht="15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ht="15.75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ht="15.75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ht="15.75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ht="15.75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ht="15.75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ht="15.75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ht="15.75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ht="15.75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ht="15.75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ht="15.75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ht="15.75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ht="15.75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ht="15.75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ht="15.75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ht="15.75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ht="15.75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ht="15.75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ht="15.75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ht="15.75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ht="15.75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ht="15.75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ht="15.75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ht="15.75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ht="15.75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ht="15.75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ht="15.75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ht="15.75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ht="15.75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ht="15.75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ht="15.75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ht="15.75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ht="15.75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ht="15.75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ht="15.75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ht="15.75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ht="15.75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ht="15.75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ht="15.75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ht="15.75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ht="15.75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ht="15.75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ht="15.75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ht="15.75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ht="15.75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ht="15.75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ht="15.75" customHeight="1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ht="15.75" customHeight="1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ht="15.75" customHeight="1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ht="15.75" customHeight="1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ht="15.75" customHeight="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ht="15.75" customHeight="1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ht="15.75" customHeight="1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ht="15.75" customHeight="1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ht="15.75" customHeight="1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ht="15.75" customHeight="1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ht="15.75" customHeight="1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ht="15.75" customHeight="1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ht="15.75" customHeight="1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ht="15.75" customHeight="1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ht="15.75" customHeight="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ht="15.75" customHeight="1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ht="15.75" customHeight="1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ht="15.75" customHeight="1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ht="15.75" customHeight="1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ht="15.75" customHeight="1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ht="15.75" customHeight="1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ht="15.75" customHeight="1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ht="15.75" customHeight="1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ht="15.75" customHeight="1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ht="15.75" customHeight="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ht="15.75" customHeight="1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ht="15.75" customHeight="1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ht="15.75" customHeight="1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ht="15.75" customHeight="1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ht="15.75" customHeight="1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ht="15.75" customHeight="1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ht="15.75" customHeight="1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ht="15.75" customHeight="1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ht="15.75" customHeight="1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ht="15.75" customHeight="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ht="15.75" customHeight="1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ht="15.75" customHeight="1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ht="15.75" customHeight="1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ht="15.75" customHeight="1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ht="15.75" customHeight="1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ht="15.75" customHeight="1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ht="15.75" customHeight="1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ht="15.75" customHeight="1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ht="15.75" customHeight="1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ht="15.75" customHeight="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ht="15.75" customHeight="1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ht="15.75" customHeight="1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ht="15.75" customHeight="1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ht="15.75" customHeight="1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ht="15.75" customHeight="1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ht="15.75" customHeight="1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ht="15.75" customHeight="1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ht="15.75" customHeight="1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ht="15.75" customHeight="1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ht="15.75" customHeight="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ht="15.75" customHeight="1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ht="15.75" customHeight="1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ht="15.75" customHeight="1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ht="15.75" customHeight="1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ht="15.75" customHeight="1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ht="15.75" customHeight="1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ht="15.75" customHeight="1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ht="15.75" customHeight="1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ht="15.75" customHeight="1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ht="15.75" customHeight="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ht="15.75" customHeight="1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ht="15.75" customHeight="1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ht="15.75" customHeight="1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ht="15.75" customHeight="1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ht="15.75" customHeight="1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ht="15.75" customHeight="1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ht="15.75" customHeight="1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ht="15.75" customHeight="1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ht="15.75" customHeight="1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ht="15.75" customHeight="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ht="15.75" customHeight="1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ht="15.75" customHeight="1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ht="15.75" customHeight="1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ht="15.75" customHeight="1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ht="15.75" customHeight="1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ht="15.75" customHeight="1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ht="15.75" customHeight="1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ht="15.75" customHeight="1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 ht="15.75" customHeight="1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2.43"/>
    <col customWidth="1" min="2" max="2" width="19.0"/>
  </cols>
  <sheetData>
    <row r="1">
      <c r="A1" s="26" t="str">
        <f t="array" ref="A1:A8">UNIQUE(SalesData_Formula_Applied!D1:D26)
</f>
        <v>Product</v>
      </c>
      <c r="B1" s="26" t="str">
        <f t="array" ref="B1:B8">{"Category"; MAP(A2:A8, LAMBDA(p, IF(OR(p="Laptop", p="Monitor"), "Electronics", IF(OR(p="Mouse", p="Keyboard"), "Accessories", IF(p="Printer", "Office", "Furniture")))))}
</f>
        <v>Category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8" t="s">
        <v>11</v>
      </c>
      <c r="B2" s="28" t="s">
        <v>12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A3" s="28" t="s">
        <v>25</v>
      </c>
      <c r="B3" s="28" t="s">
        <v>12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28" t="s">
        <v>27</v>
      </c>
      <c r="B4" s="28" t="s">
        <v>28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8" t="s">
        <v>31</v>
      </c>
      <c r="B5" s="28" t="s">
        <v>32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28" t="s">
        <v>16</v>
      </c>
      <c r="B6" s="28" t="s">
        <v>17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28" t="s">
        <v>21</v>
      </c>
      <c r="B7" s="28" t="s">
        <v>17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28" t="s">
        <v>34</v>
      </c>
      <c r="B8" s="28" t="s">
        <v>32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28"/>
      <c r="C15" s="28"/>
      <c r="D15" s="29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drawing r:id="rId1"/>
</worksheet>
</file>